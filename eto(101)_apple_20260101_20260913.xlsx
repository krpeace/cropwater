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원데이터" sheetId="2" state="visible" r:id="rId2"/>
    <sheet name="계산과정" sheetId="3" state="visible" r:id="rId3"/>
    <sheet name="결과요약" sheetId="4" state="visible" r:id="rId4"/>
    <sheet name="물수지" sheetId="5" state="visible" r:id="rId5"/>
    <sheet name="계산근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00"/>
    <numFmt numFmtId="167" formatCode="yyyy-mm-dd"/>
    <numFmt numFmtId="168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1A1A"/>
      <sz val="10"/>
    </font>
    <font>
      <name val="맑은 고딕"/>
      <sz val="10"/>
    </font>
    <font>
      <name val="맑은 고딕"/>
      <color rgb="00555555"/>
      <sz val="9"/>
    </font>
    <font>
      <name val="맑은 고딕"/>
      <b val="1"/>
      <color rgb="00FFFFFF"/>
      <sz val="11"/>
    </font>
    <font>
      <name val="맑은 고딕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2E6A4C"/>
      </patternFill>
    </fill>
    <fill>
      <patternFill patternType="solid">
        <fgColor rgb="00FBEED2"/>
      </patternFill>
    </fill>
    <fill>
      <patternFill patternType="solid">
        <fgColor rgb="00EFF1EC"/>
      </patternFill>
    </fill>
    <fill>
      <patternFill patternType="solid">
        <fgColor rgb="002B6E86"/>
      </patternFill>
    </fill>
    <fill>
      <patternFill patternType="solid">
        <fgColor rgb="00A8681B"/>
      </patternFill>
    </fill>
    <fill>
      <patternFill patternType="solid">
        <fgColor rgb="008B6914"/>
      </patternFill>
    </fill>
  </fills>
  <borders count="6">
    <border>
      <left/>
      <right/>
      <top/>
      <bottom/>
      <diagonal/>
    </border>
    <border>
      <left style="thin">
        <color rgb="00D0D3CC"/>
      </left>
      <right style="thin">
        <color rgb="00D0D3CC"/>
      </right>
      <top style="thin">
        <color rgb="00D0D3CC"/>
      </top>
      <bottom style="thin">
        <color rgb="00D0D3CC"/>
      </bottom>
    </border>
    <border>
      <left/>
      <right/>
      <top style="thin">
        <color rgb="00D0D3CC"/>
      </top>
      <bottom/>
      <diagonal/>
    </border>
    <border>
      <left/>
      <right style="thin">
        <color rgb="00D0D3CC"/>
      </right>
      <top style="thin">
        <color rgb="00D0D3CC"/>
      </top>
      <bottom/>
      <diagonal/>
    </border>
    <border>
      <left/>
      <right/>
      <top style="thin">
        <color rgb="00D0D3CC"/>
      </top>
      <bottom style="thin">
        <color rgb="00D0D3CC"/>
      </bottom>
      <diagonal/>
    </border>
    <border>
      <left/>
      <right style="thin">
        <color rgb="00D0D3CC"/>
      </right>
      <top style="thin">
        <color rgb="00D0D3CC"/>
      </top>
      <bottom style="thin">
        <color rgb="00D0D3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68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70" customWidth="1" min="3" max="3"/>
    <col width="30" customWidth="1" min="5" max="5"/>
    <col width="30" customWidth="1" min="6" max="6"/>
  </cols>
  <sheetData>
    <row r="1">
      <c r="A1" s="1" t="inlineStr">
        <is>
          <t>항목</t>
        </is>
      </c>
      <c r="B1" s="1" t="inlineStr">
        <is>
          <t>값 (노란칸은 수정 가능)</t>
        </is>
      </c>
      <c r="C1" s="1" t="inlineStr">
        <is>
          <t>기본값 근거·출처</t>
        </is>
      </c>
      <c r="E1" s="2" t="inlineStr">
        <is>
          <t>※ 위도·고도·풍속계높이·fetch를 바꾸면 계산과정이 자동 재계산됩니다.</t>
        </is>
      </c>
    </row>
    <row r="2" ht="32" customHeight="1">
      <c r="A2" s="3" t="inlineStr">
        <is>
          <t>위도 (°)</t>
        </is>
      </c>
      <c r="B2" s="4" t="n">
        <v>37.90262</v>
      </c>
      <c r="C2" s="5" t="inlineStr">
        <is>
          <t>천문일사(Ra) 산정에 사용. [출처] 기상청 API 허브(stn_inf.php) 실시간 자동조회 실측값</t>
        </is>
      </c>
    </row>
    <row r="3" ht="32" customHeight="1">
      <c r="A3" s="3" t="inlineStr">
        <is>
          <t>고도 (m)</t>
        </is>
      </c>
      <c r="B3" s="6" t="n">
        <v>75.81999999999999</v>
      </c>
      <c r="C3" s="5" t="inlineStr">
        <is>
          <t>기압 추정식·청천일사(Rso) 계산의 기준값(단, PM에 미치는 영향은 작음). [출처] 기상청 API 허브(stn_inf.php) 실시간 자동조회 실측값</t>
        </is>
      </c>
    </row>
    <row r="4" ht="32" customHeight="1">
      <c r="A4" s="3" t="inlineStr">
        <is>
          <t>풍속계 높이 (m)</t>
        </is>
      </c>
      <c r="B4" s="6" t="n">
        <v>10</v>
      </c>
      <c r="C4" s="5" t="inlineStr">
        <is>
          <t>3개 메타값 중 PM에 가장 민감한 항목(지점마다 다름: 춘천 10·태백 16·수원 18.7m 등). [출처] 기상청 API 허브(stn_inf.php) 실시간 자동조회 실측값</t>
        </is>
      </c>
    </row>
    <row r="5" ht="32" customHeight="1">
      <c r="A5" s="3" t="inlineStr">
        <is>
          <t>증발접시 상풍거리 fetch (m)</t>
        </is>
      </c>
      <c r="B5" s="7" t="n">
        <v>100</v>
      </c>
      <c r="C5" s="5" t="inlineStr">
        <is>
          <t>FAO-56 Table 8 기본 가정값. 증발접시 주변이 녹지(잔디 등)이고 상풍(바람이 불어오는 방향) 노출거리 100m 기준 — 관측소 주변 환경 실사 전까지의 표준 근사치</t>
        </is>
      </c>
    </row>
    <row r="6" ht="32" customHeight="1">
      <c r="A6" s="3" t="inlineStr">
        <is>
          <t>지점번호 (참고용)</t>
        </is>
      </c>
      <c r="B6" s="8" t="inlineStr">
        <is>
          <t>101</t>
        </is>
      </c>
      <c r="C6" s="5" t="inlineStr">
        <is>
          <t>실행 시 입력한 ASOS 지점번호. 관측지점 메타정보 출처: 기상청 API 허브(stn_inf.php) 실시간 자동조회 실측값</t>
        </is>
      </c>
    </row>
    <row r="7" ht="32" customHeight="1">
      <c r="A7" s="3" t="inlineStr">
        <is>
          <t>조회 시작일 (참고용)</t>
        </is>
      </c>
      <c r="B7" s="8" t="inlineStr">
        <is>
          <t>20260101</t>
        </is>
      </c>
      <c r="C7" s="5" t="inlineStr">
        <is>
          <t>실행 시 입력한 조회기간 시작일. 계산식에는 사용되지 않고 원본 확인용으로만 표시</t>
        </is>
      </c>
    </row>
    <row r="8" ht="32" customHeight="1">
      <c r="A8" s="3" t="inlineStr">
        <is>
          <t>조회 종료일 (참고용)</t>
        </is>
      </c>
      <c r="B8" s="8" t="inlineStr">
        <is>
          <t>20260913</t>
        </is>
      </c>
      <c r="C8" s="5" t="inlineStr">
        <is>
          <t>실행 시 입력한 조회기간 종료일. 계산식에는 사용되지 않고 원본 확인용으로만 표시</t>
        </is>
      </c>
    </row>
    <row r="9" ht="32" customHeight="1">
      <c r="A9" s="1" t="inlineStr">
        <is>
          <t>[5] Kc 시나리오 — FAO-56 Table 12 (과수)</t>
        </is>
      </c>
      <c r="B9" s="9" t="n"/>
      <c r="C9" s="10" t="n"/>
    </row>
    <row r="10" ht="32" customHeight="1">
      <c r="A10" s="3" t="inlineStr">
        <is>
          <t>작물</t>
        </is>
      </c>
      <c r="B10" s="11" t="inlineStr">
        <is>
          <t>사과 — Apple</t>
        </is>
      </c>
      <c r="C10" s="5" t="inlineStr">
        <is>
          <t>crop_id=apple. 시나리오 4개 사용 가능. 작물을 바꾸려면 실행 시 --crop 인자를 사용(예: --crop cabbage). 라이브러리는 crops_library.csv, 사용자 수정은 crops_overrides.csv</t>
        </is>
      </c>
    </row>
    <row r="11" ht="32" customHeight="1">
      <c r="A11" s="3" t="inlineStr">
        <is>
          <t>시나리오 번호 (1~4)</t>
        </is>
      </c>
      <c r="B11" s="7" t="n">
        <v>3</v>
      </c>
      <c r="C11" s="5" t="inlineStr">
        <is>
          <t>1=청경·서리 (0.45/0.95/0.70) | 2=청경·무서리 (0.60/0.95/0.75) | 3=초생재배·서리 (0.50/1.20/0.95, 한국 과수원 일반) | 4=초생재배·무서리 (0.80/1.20/0.85). 이 값을 바꾸면 아래 표값 3개와 최종 Kc가 자동 재계산됨.</t>
        </is>
      </c>
    </row>
    <row r="12" ht="32" customHeight="1">
      <c r="A12" s="3" t="inlineStr">
        <is>
          <t>표값 Kc_ini</t>
        </is>
      </c>
      <c r="B12" s="12">
        <f>CHOOSE(설정!$B$11,0.450,0.600,0.500,0.800)</f>
        <v/>
      </c>
      <c r="C12" s="5" t="inlineStr">
        <is>
          <t>선택된 시나리오의 초기 Kc 표값 (현지기상 보정 없음, 멀칭 보정만 적용)</t>
        </is>
      </c>
    </row>
    <row r="13" ht="32" customHeight="1">
      <c r="A13" s="3" t="inlineStr">
        <is>
          <t>표값 Kc_mid</t>
        </is>
      </c>
      <c r="B13" s="12">
        <f>CHOOSE(설정!$B$11,0.950,0.950,1.200,1.200)</f>
        <v/>
      </c>
      <c r="C13" s="5" t="inlineStr">
        <is>
          <t>선택된 시나리오의 생육중기 Kc 표값 (현지기상 보정 대상)</t>
        </is>
      </c>
    </row>
    <row r="14" ht="32" customHeight="1">
      <c r="A14" s="3" t="inlineStr">
        <is>
          <t>표값 Kc_end</t>
        </is>
      </c>
      <c r="B14" s="12">
        <f>CHOOSE(설정!$B$11,0.700,0.750,0.950,0.850)</f>
        <v/>
      </c>
      <c r="C14" s="5" t="inlineStr">
        <is>
          <t>선택된 시나리오의 생육후기 Kc 표값 (0.45 초과일 때만 현지기상 보정)</t>
        </is>
      </c>
    </row>
    <row r="15" ht="32" customHeight="1">
      <c r="A15" s="1" t="inlineStr">
        <is>
          <t>[6] 생육단계 구분 — FAO-56 Table 11 (Deciduous Orchard, High Latitudes)</t>
        </is>
      </c>
      <c r="B15" s="9" t="n"/>
      <c r="C15" s="10" t="n"/>
    </row>
    <row r="16" ht="32" customHeight="1">
      <c r="A16" s="3" t="inlineStr">
        <is>
          <t>생육 시작일 (발아기/정식일)</t>
        </is>
      </c>
      <c r="B16" s="13" t="n">
        <v>46113</v>
      </c>
      <c r="C16" s="5" t="inlineStr">
        <is>
          <t>사과 눈이 움직이기 시작하는 날 등, 작물의 생육 시작 시점(정식·파종·발아일). 지역·기후·품종에 따라 다름. 이 날짜부터 스테이지 카운트 시작.</t>
        </is>
      </c>
    </row>
    <row r="17" ht="32" customHeight="1">
      <c r="A17" s="3" t="inlineStr">
        <is>
          <t>L_ini (초기, 일)</t>
        </is>
      </c>
      <c r="B17" s="7" t="n">
        <v>20</v>
      </c>
      <c r="C17" s="5" t="inlineStr">
        <is>
          <t>발아 후 Kc가 Kc_ini에 머무는 기간. 작물 라이브러리 기본값(FAO-56 Table 11). 지역·품종 편차 클 때 실측 조정</t>
        </is>
      </c>
    </row>
    <row r="18" ht="32" customHeight="1">
      <c r="A18" s="3" t="inlineStr">
        <is>
          <t>L_dev (발육, 일)</t>
        </is>
      </c>
      <c r="B18" s="7" t="n">
        <v>70</v>
      </c>
      <c r="C18" s="5" t="inlineStr">
        <is>
          <t>Kc가 Kc_ini→Kc_mid로 선형 증가하는 기간</t>
        </is>
      </c>
    </row>
    <row r="19" ht="32" customHeight="1">
      <c r="A19" s="3" t="inlineStr">
        <is>
          <t>L_mid (중기, 일)</t>
        </is>
      </c>
      <c r="B19" s="7" t="n">
        <v>90</v>
      </c>
      <c r="C19" s="5" t="inlineStr">
        <is>
          <t>Kc가 Kc_mid에 머무는 기간(대개 생식 성장기~성숙 직전)</t>
        </is>
      </c>
    </row>
    <row r="20" ht="32" customHeight="1">
      <c r="A20" s="3" t="inlineStr">
        <is>
          <t>L_late (후기, 일)</t>
        </is>
      </c>
      <c r="B20" s="7" t="n">
        <v>30</v>
      </c>
      <c r="C20" s="5" t="inlineStr">
        <is>
          <t>Kc가 Kc_mid→Kc_end로 선형 감소하는 기간(성숙~수확·낙엽)</t>
        </is>
      </c>
    </row>
    <row r="21" ht="32" customHeight="1">
      <c r="A21" s="3" t="inlineStr">
        <is>
          <t>총 생육기간 (일)</t>
        </is>
      </c>
      <c r="B21" s="14">
        <f>설정!$B$17+설정!$B$18+설정!$B$19+설정!$B$20</f>
        <v/>
      </c>
      <c r="C21" s="5" t="inlineStr">
        <is>
          <t>L_ini + L_dev + L_mid + L_late</t>
        </is>
      </c>
    </row>
    <row r="22" ht="32" customHeight="1">
      <c r="A22" s="3" t="inlineStr">
        <is>
          <t>생육중기 시작일</t>
        </is>
      </c>
      <c r="B22" s="15">
        <f>설정!$B$16+설정!$B$17+설정!$B$18</f>
        <v/>
      </c>
      <c r="C22" s="5" t="inlineStr">
        <is>
          <t>발아일 + L_ini + L_dev (현지기상 보정용 평균 산정 구간의 시작)</t>
        </is>
      </c>
    </row>
    <row r="23" ht="32" customHeight="1">
      <c r="A23" s="3" t="inlineStr">
        <is>
          <t>생육중기 종료일</t>
        </is>
      </c>
      <c r="B23" s="15">
        <f>설정!$B$16+설정!$B$17+설정!$B$18+설정!$B$19-1</f>
        <v/>
      </c>
      <c r="C23" s="5" t="inlineStr">
        <is>
          <t>생육중기 종료일(포함)</t>
        </is>
      </c>
    </row>
    <row r="24" ht="32" customHeight="1">
      <c r="A24" s="3" t="inlineStr">
        <is>
          <t>생육후기 종료일 (생육 종료)</t>
        </is>
      </c>
      <c r="B24" s="15">
        <f>설정!$B$16+설정!$B$21-1</f>
        <v/>
      </c>
      <c r="C24" s="5" t="inlineStr">
        <is>
          <t>생육 종료일. 이 이후는 Kc=0 처리</t>
        </is>
      </c>
    </row>
    <row r="25" ht="32" customHeight="1">
      <c r="A25" s="1" t="inlineStr">
        <is>
          <t>[7] Kc 현지기상 보정 — FAO-56 식(62) p.121, 식(65) p.125</t>
        </is>
      </c>
      <c r="B25" s="9" t="n"/>
      <c r="C25" s="10" t="n"/>
    </row>
    <row r="26" ht="32" customHeight="1">
      <c r="A26" s="3" t="inlineStr">
        <is>
          <t>생육중기 초목 수고 h (m)</t>
        </is>
      </c>
      <c r="B26" s="6" t="n">
        <v>3.2</v>
      </c>
      <c r="C26" s="5" t="inlineStr">
        <is>
          <t>생육중기 캐노피 평균 높이. 작물 라이브러리 기본값. 현지기상 보정식의 (h/3)^0.3 항에 사용</t>
        </is>
      </c>
    </row>
    <row r="27" ht="32" customHeight="1">
      <c r="A27" s="3" t="inlineStr">
        <is>
          <t>중기 평균 u2 (m/s)</t>
        </is>
      </c>
      <c r="B27" s="16" t="n">
        <v>1.013670536082872</v>
      </c>
      <c r="C27" s="5" t="inlineStr">
        <is>
          <t>조회기간 중 생육중기 구간의 실측 평균값(자동집계). 강원도원 워크북과 정합화 기준.</t>
        </is>
      </c>
    </row>
    <row r="28" ht="32" customHeight="1">
      <c r="A28" s="3" t="inlineStr">
        <is>
          <t>중기 평균 RHmin (%)</t>
        </is>
      </c>
      <c r="B28" s="7" t="n">
        <v>58.02631578947368</v>
      </c>
      <c r="C28" s="5" t="inlineStr">
        <is>
          <t>조회기간 중 생육중기 구간의 실측 평균값(자동집계, 최소상대습도 minRhm 기준).</t>
        </is>
      </c>
    </row>
    <row r="29" ht="32" customHeight="1">
      <c r="A29" s="3" t="inlineStr">
        <is>
          <t>후기 평균 u2 (m/s)</t>
        </is>
      </c>
      <c r="B29" s="16" t="n">
        <v>1.5</v>
      </c>
      <c r="C29" s="5" t="inlineStr">
        <is>
          <t>생육후기 기간 실측 부족 → 기본값 1.5 사용</t>
        </is>
      </c>
    </row>
    <row r="30" ht="32" customHeight="1">
      <c r="A30" s="3" t="inlineStr">
        <is>
          <t>후기 평균 RHmin (%)</t>
        </is>
      </c>
      <c r="B30" s="7" t="n">
        <v>55</v>
      </c>
      <c r="C30" s="5" t="inlineStr">
        <is>
          <t>생육후기 기간 실측 부족 → 기본값 55 사용</t>
        </is>
      </c>
    </row>
    <row r="31" ht="32" customHeight="1">
      <c r="A31" s="3" t="inlineStr">
        <is>
          <t>멀칭 Kc 보정계수</t>
        </is>
      </c>
      <c r="B31" s="16" t="n">
        <v>1</v>
      </c>
      <c r="C31" s="5" t="inlineStr">
        <is>
          <t>전면 비닐멀칭 시 Kc를 10~30% 낮춤(0.70~0.90). 없으면 1.00</t>
        </is>
      </c>
    </row>
    <row r="32" ht="32" customHeight="1">
      <c r="A32" s="1" t="inlineStr">
        <is>
          <t>[5+7] 최종 적용 Kc (자동 계산)</t>
        </is>
      </c>
      <c r="B32" s="9" t="n"/>
      <c r="C32" s="10" t="n"/>
    </row>
    <row r="33" ht="32" customHeight="1">
      <c r="A33" s="3" t="inlineStr">
        <is>
          <t>★ 적용 Kc_ini</t>
        </is>
      </c>
      <c r="B33" s="12">
        <f>설정!$B$12*설정!$B$31</f>
        <v/>
      </c>
      <c r="C33" s="5" t="inlineStr">
        <is>
          <t>FAO-56 p.121: Kc_ini는 현지기상 보정 대상 아님. 멀칭 보정만 반영</t>
        </is>
      </c>
    </row>
    <row r="34" ht="32" customHeight="1">
      <c r="A34" s="3" t="inlineStr">
        <is>
          <t>★ 적용 Kc_mid (현지기상 보정 후)</t>
        </is>
      </c>
      <c r="B34" s="12">
        <f>(설정!$B$13+(0.04*(MEDIAN(1,설정!$B$27,6)-2)-0.004*(MEDIAN(20,설정!$B$28,80)-45))*(설정!$B$26/3)^0.3)*설정!$B$31</f>
        <v/>
      </c>
      <c r="C34" s="5" t="inlineStr">
        <is>
          <t>FAO-56 식(62): 현지기상(u2·RHmin) 보정. Kc_mid + [0.04(u2−2)−0.004(RHmin−45)](h/3)^0.3, 멀칭 보정 포함</t>
        </is>
      </c>
    </row>
    <row r="35" ht="32" customHeight="1">
      <c r="A35" s="3" t="inlineStr">
        <is>
          <t>★ 적용 Kc_end (현지기상 보정 후)</t>
        </is>
      </c>
      <c r="B35" s="12">
        <f>IF(설정!$B$14&gt;0.45,(설정!$B$14+(0.04*(MEDIAN(1,설정!$B$29,6)-2)-0.004*(MEDIAN(20,설정!$B$30,80)-45))*(설정!$B$26/3)^0.3),설정!$B$14)*설정!$B$31</f>
        <v/>
      </c>
      <c r="C35" s="5" t="inlineStr">
        <is>
          <t>FAO-56 식(65): Kc_end&gt;0.45인 경우만 현지기상 보정, 그 외는 표값 유지. 멀칭 보정 곱함</t>
        </is>
      </c>
    </row>
    <row r="36" ht="32" customHeight="1">
      <c r="A36" s="1" t="inlineStr">
        <is>
          <t>[8] 토양·근권 파라미터 (물수지 계산용)</t>
        </is>
      </c>
      <c r="B36" s="9" t="n"/>
      <c r="C36" s="10" t="n"/>
    </row>
    <row r="37" ht="32" customHeight="1">
      <c r="A37" s="3" t="inlineStr">
        <is>
          <t>포장용수량 θFC (m³/m³)</t>
        </is>
      </c>
      <c r="B37" s="16" t="n">
        <v>0.22</v>
      </c>
      <c r="C37" s="5" t="inlineStr">
        <is>
          <t>FAO-56 Table 19, Loam(양토) 대표값. 토성에 따라 모래 0.10, 점토 0.36 범위</t>
        </is>
      </c>
    </row>
    <row r="38" ht="32" customHeight="1">
      <c r="A38" s="3" t="inlineStr">
        <is>
          <t>위조점 θWP (m³/m³)</t>
        </is>
      </c>
      <c r="B38" s="16" t="n">
        <v>0.1</v>
      </c>
      <c r="C38" s="5" t="inlineStr">
        <is>
          <t>FAO-56 Table 19, Loam(양토) 대표값. 모래 0.04, 점토 0.20 범위</t>
        </is>
      </c>
    </row>
    <row r="39" ht="32" customHeight="1">
      <c r="A39" s="3" t="inlineStr">
        <is>
          <t>근권심도 Zr (m)</t>
        </is>
      </c>
      <c r="B39" s="16" t="n">
        <v>1</v>
      </c>
      <c r="C39" s="5" t="inlineStr">
        <is>
          <t>FAO-56 Table 22. 사과 관수 스케줄링용 값. 천수답이면 큰 값 사용</t>
        </is>
      </c>
    </row>
    <row r="40" ht="32" customHeight="1">
      <c r="A40" s="3" t="inlineStr">
        <is>
          <t>토양수분고갈계수 p</t>
        </is>
      </c>
      <c r="B40" s="16" t="n">
        <v>0.5</v>
      </c>
      <c r="C40" s="5" t="inlineStr">
        <is>
          <t>FAO-56 Table 22. ETc≈5mm/d 기준. 고온건조 시 10-25% 감소, 저ETc 시 20% 증가</t>
        </is>
      </c>
    </row>
    <row r="41" ht="32" customHeight="1">
      <c r="A41" s="3" t="inlineStr">
        <is>
          <t>★ TAW (mm)</t>
        </is>
      </c>
      <c r="B41" s="17">
        <f>1000*(설정!$B$37-설정!$B$38)*설정!$B$39</f>
        <v/>
      </c>
      <c r="C41" s="5" t="inlineStr">
        <is>
          <t>총유효수분 = 1000·(θFC−θWP)·Zr. FAO-56 식(82)</t>
        </is>
      </c>
    </row>
    <row r="42" ht="32" customHeight="1">
      <c r="A42" s="3" t="inlineStr">
        <is>
          <t>★ RAW (mm)</t>
        </is>
      </c>
      <c r="B42" s="17">
        <f>설정!$B$40*설정!$B$41</f>
        <v/>
      </c>
      <c r="C42" s="5" t="inlineStr">
        <is>
          <t>쉽게이용가능수분 = p×TAW. Dr이 이 값에 도달하면 관수 필요. FAO-56 식(83)</t>
        </is>
      </c>
    </row>
    <row r="43" ht="32" customHeight="1">
      <c r="A43" s="3" t="inlineStr">
        <is>
          <t>초기 고갈량 Dr₀ (mm)</t>
        </is>
      </c>
      <c r="B43" s="6" t="n">
        <v>0</v>
      </c>
      <c r="C43" s="5" t="inlineStr">
        <is>
          <t>전일 충분한 강우/관수 후 포장용수량 출발 가정(Dr=0). 건조 조건이면 양수값 입력</t>
        </is>
      </c>
    </row>
    <row r="44" ht="32" customHeight="1">
      <c r="A44" s="3" t="inlineStr">
        <is>
          <t>관수효율 Ea</t>
        </is>
      </c>
      <c r="B44" s="16" t="n">
        <v>0.95</v>
      </c>
      <c r="C44" s="5" t="inlineStr">
        <is>
          <t>점적관수 기준 0.95. 스프링클러 0.75~0.85. 총관수량 Ig = In/Ea</t>
        </is>
      </c>
    </row>
  </sheetData>
  <mergeCells count="6">
    <mergeCell ref="A25:C25"/>
    <mergeCell ref="A36:C36"/>
    <mergeCell ref="A32:C32"/>
    <mergeCell ref="E1:F1"/>
    <mergeCell ref="A9:C9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일자</t>
        </is>
      </c>
      <c r="B1" s="1" t="inlineStr">
        <is>
          <t>최고기온(℃)</t>
        </is>
      </c>
      <c r="C1" s="1" t="inlineStr">
        <is>
          <t>최저기온(℃)</t>
        </is>
      </c>
      <c r="D1" s="1" t="inlineStr">
        <is>
          <t>평균기온(℃)</t>
        </is>
      </c>
      <c r="E1" s="1" t="inlineStr">
        <is>
          <t>평균습도(%)</t>
        </is>
      </c>
      <c r="F1" s="1" t="inlineStr">
        <is>
          <t>최소습도(%)</t>
        </is>
      </c>
      <c r="G1" s="1" t="inlineStr">
        <is>
          <t>평균풍속(m/s)</t>
        </is>
      </c>
      <c r="H1" s="1" t="inlineStr">
        <is>
          <t>평균증기압(hPa)</t>
        </is>
      </c>
      <c r="I1" s="1" t="inlineStr">
        <is>
          <t>평균이슬점(℃)</t>
        </is>
      </c>
      <c r="J1" s="1" t="inlineStr">
        <is>
          <t>평균현지기압(hPa)</t>
        </is>
      </c>
      <c r="K1" s="1" t="inlineStr">
        <is>
          <t>합계일사(MJ/m²)</t>
        </is>
      </c>
      <c r="L1" s="1" t="inlineStr">
        <is>
          <t>합계일조(hr)</t>
        </is>
      </c>
      <c r="M1" s="1" t="inlineStr">
        <is>
          <t>대형증발량(mm)</t>
        </is>
      </c>
      <c r="N1" s="1" t="inlineStr">
        <is>
          <t>일강수량(mm)</t>
        </is>
      </c>
    </row>
    <row r="2">
      <c r="A2" s="15" t="n">
        <v>46023</v>
      </c>
      <c r="B2" s="17" t="n">
        <v>-2.2</v>
      </c>
      <c r="C2" s="17" t="n">
        <v>-13.6</v>
      </c>
      <c r="D2" s="17" t="n">
        <v>-8.5</v>
      </c>
      <c r="E2" s="14" t="n">
        <v>51.5</v>
      </c>
      <c r="F2" s="14" t="n">
        <v>24</v>
      </c>
      <c r="G2" s="17" t="n">
        <v>1.5</v>
      </c>
      <c r="H2" s="17" t="n">
        <v>1.5</v>
      </c>
      <c r="I2" s="17" t="n">
        <v>-17.7</v>
      </c>
      <c r="J2" s="17" t="n">
        <v>1015.6</v>
      </c>
      <c r="K2" s="18" t="n">
        <v>10.35</v>
      </c>
      <c r="L2" s="17" t="n">
        <v>7.6</v>
      </c>
      <c r="M2" s="17" t="n">
        <v>1</v>
      </c>
      <c r="N2" s="17" t="n"/>
    </row>
    <row r="3">
      <c r="A3" s="15" t="n">
        <v>46024</v>
      </c>
      <c r="B3" s="17" t="n">
        <v>-2.4</v>
      </c>
      <c r="C3" s="17" t="n">
        <v>-14.4</v>
      </c>
      <c r="D3" s="17" t="n">
        <v>-9.1</v>
      </c>
      <c r="E3" s="14" t="n">
        <v>60.9</v>
      </c>
      <c r="F3" s="14" t="n">
        <v>29</v>
      </c>
      <c r="G3" s="17" t="n">
        <v>1.2</v>
      </c>
      <c r="H3" s="17" t="n">
        <v>1.8</v>
      </c>
      <c r="I3" s="17" t="n">
        <v>-16</v>
      </c>
      <c r="J3" s="17" t="n">
        <v>1015.3</v>
      </c>
      <c r="K3" s="18" t="n">
        <v>10.53</v>
      </c>
      <c r="L3" s="17" t="n">
        <v>7.7</v>
      </c>
      <c r="M3" s="17" t="n">
        <v>0.9</v>
      </c>
      <c r="N3" s="17" t="n"/>
    </row>
    <row r="4">
      <c r="A4" s="15" t="n">
        <v>46025</v>
      </c>
      <c r="B4" s="17" t="n">
        <v>0.6</v>
      </c>
      <c r="C4" s="17" t="n">
        <v>-14.1</v>
      </c>
      <c r="D4" s="17" t="n">
        <v>-7.4</v>
      </c>
      <c r="E4" s="14" t="n">
        <v>69.8</v>
      </c>
      <c r="F4" s="14" t="n">
        <v>36</v>
      </c>
      <c r="G4" s="17" t="n">
        <v>0.9</v>
      </c>
      <c r="H4" s="17" t="n">
        <v>2.4</v>
      </c>
      <c r="I4" s="17" t="n">
        <v>-12.5</v>
      </c>
      <c r="J4" s="17" t="n">
        <v>1017.3</v>
      </c>
      <c r="K4" s="18" t="n">
        <v>10.13</v>
      </c>
      <c r="L4" s="17" t="n">
        <v>7.5</v>
      </c>
      <c r="M4" s="17" t="n">
        <v>0.9</v>
      </c>
      <c r="N4" s="17" t="n"/>
    </row>
    <row r="5">
      <c r="A5" s="15" t="n">
        <v>46026</v>
      </c>
      <c r="B5" s="17" t="n">
        <v>5.2</v>
      </c>
      <c r="C5" s="17" t="n">
        <v>-10.7</v>
      </c>
      <c r="D5" s="17" t="n">
        <v>-3</v>
      </c>
      <c r="E5" s="14" t="n">
        <v>67.3</v>
      </c>
      <c r="F5" s="14" t="n">
        <v>31</v>
      </c>
      <c r="G5" s="17" t="n">
        <v>1.1</v>
      </c>
      <c r="H5" s="17" t="n">
        <v>3.1</v>
      </c>
      <c r="I5" s="17" t="n">
        <v>-9</v>
      </c>
      <c r="J5" s="17" t="n">
        <v>1013.9</v>
      </c>
      <c r="K5" s="18" t="n">
        <v>9.449999999999999</v>
      </c>
      <c r="L5" s="17" t="n">
        <v>7.1</v>
      </c>
      <c r="M5" s="17" t="n">
        <v>1.2</v>
      </c>
      <c r="N5" s="17" t="n"/>
    </row>
    <row r="6">
      <c r="A6" s="15" t="n">
        <v>46027</v>
      </c>
      <c r="B6" s="17" t="n">
        <v>3.4</v>
      </c>
      <c r="C6" s="17" t="n">
        <v>-9.4</v>
      </c>
      <c r="D6" s="17" t="n">
        <v>-4</v>
      </c>
      <c r="E6" s="14" t="n">
        <v>63.3</v>
      </c>
      <c r="F6" s="14" t="n">
        <v>26</v>
      </c>
      <c r="G6" s="17" t="n">
        <v>0.8</v>
      </c>
      <c r="H6" s="17" t="n">
        <v>2.7</v>
      </c>
      <c r="I6" s="17" t="n">
        <v>-11.1</v>
      </c>
      <c r="J6" s="17" t="n">
        <v>1012.2</v>
      </c>
      <c r="K6" s="18" t="n">
        <v>10.34</v>
      </c>
      <c r="L6" s="17" t="n">
        <v>7.6</v>
      </c>
      <c r="M6" s="17" t="n">
        <v>1.2</v>
      </c>
      <c r="N6" s="17" t="n"/>
    </row>
    <row r="7">
      <c r="A7" s="15" t="n">
        <v>46028</v>
      </c>
      <c r="B7" s="17" t="n">
        <v>1.9</v>
      </c>
      <c r="C7" s="17" t="n">
        <v>-11.5</v>
      </c>
      <c r="D7" s="17" t="n">
        <v>-4.5</v>
      </c>
      <c r="E7" s="14" t="n">
        <v>66.40000000000001</v>
      </c>
      <c r="F7" s="14" t="n">
        <v>32</v>
      </c>
      <c r="G7" s="17" t="n">
        <v>0.7</v>
      </c>
      <c r="H7" s="17" t="n">
        <v>2.8</v>
      </c>
      <c r="I7" s="17" t="n">
        <v>-10.5</v>
      </c>
      <c r="J7" s="17" t="n">
        <v>1013.2</v>
      </c>
      <c r="K7" s="18" t="n">
        <v>8.43</v>
      </c>
      <c r="L7" s="17" t="n">
        <v>4.8</v>
      </c>
      <c r="M7" s="17" t="n">
        <v>0.8</v>
      </c>
      <c r="N7" s="17" t="n"/>
    </row>
    <row r="8">
      <c r="A8" s="15" t="n">
        <v>46029</v>
      </c>
      <c r="B8" s="17" t="n">
        <v>4.2</v>
      </c>
      <c r="C8" s="17" t="n">
        <v>-5.4</v>
      </c>
      <c r="D8" s="17" t="n">
        <v>-1</v>
      </c>
      <c r="E8" s="14" t="n">
        <v>49.3</v>
      </c>
      <c r="F8" s="14" t="n">
        <v>18</v>
      </c>
      <c r="G8" s="17" t="n">
        <v>2.4</v>
      </c>
      <c r="H8" s="17" t="n">
        <v>2.8</v>
      </c>
      <c r="I8" s="17" t="n">
        <v>-11.7</v>
      </c>
      <c r="J8" s="17" t="n">
        <v>1009.5</v>
      </c>
      <c r="K8" s="18" t="n">
        <v>10.17</v>
      </c>
      <c r="L8" s="17" t="n">
        <v>7.5</v>
      </c>
      <c r="M8" s="17" t="n">
        <v>1.8</v>
      </c>
      <c r="N8" s="17" t="n"/>
    </row>
    <row r="9">
      <c r="A9" s="15" t="n">
        <v>46030</v>
      </c>
      <c r="B9" s="17" t="n">
        <v>-0.7</v>
      </c>
      <c r="C9" s="17" t="n">
        <v>-12.3</v>
      </c>
      <c r="D9" s="17" t="n">
        <v>-6.7</v>
      </c>
      <c r="E9" s="14" t="n">
        <v>50.6</v>
      </c>
      <c r="F9" s="14" t="n">
        <v>21</v>
      </c>
      <c r="G9" s="17" t="n">
        <v>1.4</v>
      </c>
      <c r="H9" s="17" t="n">
        <v>1.7</v>
      </c>
      <c r="I9" s="17" t="n">
        <v>-16.5</v>
      </c>
      <c r="J9" s="17" t="n">
        <v>1016.6</v>
      </c>
      <c r="K9" s="18" t="n">
        <v>10.62</v>
      </c>
      <c r="L9" s="17" t="n">
        <v>8</v>
      </c>
      <c r="M9" s="17" t="n">
        <v>1.2</v>
      </c>
      <c r="N9" s="17" t="n"/>
    </row>
    <row r="10">
      <c r="A10" s="15" t="n">
        <v>46031</v>
      </c>
      <c r="B10" s="17" t="n">
        <v>-0.1</v>
      </c>
      <c r="C10" s="17" t="n">
        <v>-12.2</v>
      </c>
      <c r="D10" s="17" t="n">
        <v>-4.4</v>
      </c>
      <c r="E10" s="14" t="n">
        <v>67.40000000000001</v>
      </c>
      <c r="F10" s="14" t="n">
        <v>47</v>
      </c>
      <c r="G10" s="17" t="n">
        <v>0.6</v>
      </c>
      <c r="H10" s="17" t="n">
        <v>3</v>
      </c>
      <c r="I10" s="17" t="n">
        <v>-9.699999999999999</v>
      </c>
      <c r="J10" s="17" t="n">
        <v>1010.7</v>
      </c>
      <c r="K10" s="18" t="n">
        <v>3.64</v>
      </c>
      <c r="L10" s="17" t="n">
        <v>0.5</v>
      </c>
      <c r="M10" s="17" t="n">
        <v>0.4</v>
      </c>
      <c r="N10" s="17" t="n"/>
    </row>
    <row r="11">
      <c r="A11" s="15" t="n">
        <v>46032</v>
      </c>
      <c r="B11" s="17" t="n">
        <v>5.4</v>
      </c>
      <c r="C11" s="17" t="n">
        <v>-4.8</v>
      </c>
      <c r="D11" s="17" t="n">
        <v>0.6</v>
      </c>
      <c r="E11" s="14" t="n">
        <v>67.3</v>
      </c>
      <c r="F11" s="14" t="n">
        <v>29</v>
      </c>
      <c r="G11" s="17" t="n">
        <v>3.8</v>
      </c>
      <c r="H11" s="17" t="n">
        <v>4.3</v>
      </c>
      <c r="I11" s="17" t="n">
        <v>-5.4</v>
      </c>
      <c r="J11" s="17" t="n">
        <v>999.8</v>
      </c>
      <c r="K11" s="18" t="n">
        <v>6.31</v>
      </c>
      <c r="L11" s="17" t="n">
        <v>2.9</v>
      </c>
      <c r="M11" s="17" t="n">
        <v>1.4</v>
      </c>
      <c r="N11" s="17" t="n">
        <v>4.6</v>
      </c>
    </row>
    <row r="12">
      <c r="A12" s="15" t="n">
        <v>46033</v>
      </c>
      <c r="B12" s="17" t="n">
        <v>-3.7</v>
      </c>
      <c r="C12" s="17" t="n">
        <v>-11.8</v>
      </c>
      <c r="D12" s="17" t="n">
        <v>-7.5</v>
      </c>
      <c r="E12" s="14" t="n">
        <v>42</v>
      </c>
      <c r="F12" s="14" t="n">
        <v>19</v>
      </c>
      <c r="G12" s="17" t="n">
        <v>3.1</v>
      </c>
      <c r="H12" s="17" t="n">
        <v>1.4</v>
      </c>
      <c r="I12" s="17" t="n">
        <v>-19.1</v>
      </c>
      <c r="J12" s="17" t="n">
        <v>1013.1</v>
      </c>
      <c r="K12" s="18" t="n">
        <v>10.61</v>
      </c>
      <c r="L12" s="17" t="n">
        <v>7.9</v>
      </c>
      <c r="M12" s="17" t="n">
        <v>1.3</v>
      </c>
      <c r="N12" s="17" t="n"/>
    </row>
    <row r="13">
      <c r="A13" s="15" t="n">
        <v>46034</v>
      </c>
      <c r="B13" s="17" t="n">
        <v>-3.9</v>
      </c>
      <c r="C13" s="17" t="n">
        <v>-13.5</v>
      </c>
      <c r="D13" s="17" t="n">
        <v>-7.7</v>
      </c>
      <c r="E13" s="14" t="n">
        <v>79.59999999999999</v>
      </c>
      <c r="F13" s="14" t="n">
        <v>62</v>
      </c>
      <c r="G13" s="17" t="n">
        <v>0.8</v>
      </c>
      <c r="H13" s="17" t="n">
        <v>2.9</v>
      </c>
      <c r="I13" s="17" t="n">
        <v>-10.6</v>
      </c>
      <c r="J13" s="17" t="n">
        <v>1008.9</v>
      </c>
      <c r="K13" s="18" t="n">
        <v>3.73</v>
      </c>
      <c r="L13" s="17" t="n">
        <v>0</v>
      </c>
      <c r="M13" s="17" t="n">
        <v>0.4</v>
      </c>
      <c r="N13" s="17" t="n">
        <v>2.8</v>
      </c>
    </row>
    <row r="14">
      <c r="A14" s="15" t="n">
        <v>46035</v>
      </c>
      <c r="B14" s="17" t="n">
        <v>-1.2</v>
      </c>
      <c r="C14" s="17" t="n">
        <v>-12</v>
      </c>
      <c r="D14" s="17" t="n">
        <v>-4.8</v>
      </c>
      <c r="E14" s="14" t="n">
        <v>49.6</v>
      </c>
      <c r="F14" s="14" t="n">
        <v>21</v>
      </c>
      <c r="G14" s="17" t="n">
        <v>2.7</v>
      </c>
      <c r="H14" s="17" t="n">
        <v>2.1</v>
      </c>
      <c r="I14" s="17" t="n">
        <v>-14.9</v>
      </c>
      <c r="J14" s="17" t="n">
        <v>1007.2</v>
      </c>
      <c r="K14" s="18" t="n">
        <v>10.98</v>
      </c>
      <c r="L14" s="17" t="n">
        <v>7.9</v>
      </c>
      <c r="M14" s="17" t="n">
        <v>1.4</v>
      </c>
      <c r="N14" s="17" t="n">
        <v>1.1</v>
      </c>
    </row>
    <row r="15">
      <c r="A15" s="15" t="n">
        <v>46036</v>
      </c>
      <c r="B15" s="17" t="n">
        <v>-1.2</v>
      </c>
      <c r="C15" s="17" t="n">
        <v>-16</v>
      </c>
      <c r="D15" s="17" t="n">
        <v>-7.1</v>
      </c>
      <c r="E15" s="14" t="n">
        <v>58.9</v>
      </c>
      <c r="F15" s="14" t="n">
        <v>32</v>
      </c>
      <c r="G15" s="17" t="n">
        <v>0.8</v>
      </c>
      <c r="H15" s="17" t="n">
        <v>2</v>
      </c>
      <c r="I15" s="17" t="n">
        <v>-14.6</v>
      </c>
      <c r="J15" s="17" t="n">
        <v>1013.3</v>
      </c>
      <c r="K15" s="18" t="n">
        <v>7.42</v>
      </c>
      <c r="L15" s="17" t="n">
        <v>3.1</v>
      </c>
      <c r="M15" s="17" t="n">
        <v>0.7</v>
      </c>
      <c r="N15" s="17" t="n"/>
    </row>
    <row r="16">
      <c r="A16" s="15" t="n">
        <v>46037</v>
      </c>
      <c r="B16" s="17" t="n">
        <v>4.5</v>
      </c>
      <c r="C16" s="17" t="n">
        <v>-4.2</v>
      </c>
      <c r="D16" s="17" t="n">
        <v>-1.1</v>
      </c>
      <c r="E16" s="14" t="n">
        <v>79.59999999999999</v>
      </c>
      <c r="F16" s="14" t="n">
        <v>46</v>
      </c>
      <c r="G16" s="17" t="n">
        <v>0.6</v>
      </c>
      <c r="H16" s="17" t="n">
        <v>4.5</v>
      </c>
      <c r="I16" s="17" t="n">
        <v>-4.2</v>
      </c>
      <c r="J16" s="17" t="n">
        <v>1005.7</v>
      </c>
      <c r="K16" s="18" t="n">
        <v>4.89</v>
      </c>
      <c r="L16" s="17" t="n">
        <v>1.5</v>
      </c>
      <c r="M16" s="17" t="n">
        <v>0.5</v>
      </c>
      <c r="N16" s="17" t="n">
        <v>1.3</v>
      </c>
    </row>
    <row r="17">
      <c r="A17" s="15" t="n">
        <v>46038</v>
      </c>
      <c r="B17" s="17" t="n">
        <v>6.9</v>
      </c>
      <c r="C17" s="17" t="n">
        <v>-5</v>
      </c>
      <c r="D17" s="17" t="n">
        <v>0.4</v>
      </c>
      <c r="E17" s="14" t="n">
        <v>86.40000000000001</v>
      </c>
      <c r="F17" s="14" t="n">
        <v>56</v>
      </c>
      <c r="G17" s="17" t="n">
        <v>0.4</v>
      </c>
      <c r="H17" s="17" t="n">
        <v>5.4</v>
      </c>
      <c r="I17" s="17" t="n">
        <v>-1.7</v>
      </c>
      <c r="J17" s="17" t="n">
        <v>1009.3</v>
      </c>
      <c r="K17" s="18" t="n">
        <v>6.27</v>
      </c>
      <c r="L17" s="17" t="n">
        <v>3.7</v>
      </c>
      <c r="M17" s="17" t="n">
        <v>0.7</v>
      </c>
      <c r="N17" s="17" t="n"/>
    </row>
    <row r="18">
      <c r="A18" s="15" t="n">
        <v>46039</v>
      </c>
      <c r="B18" s="17" t="n">
        <v>7.3</v>
      </c>
      <c r="C18" s="17" t="n">
        <v>-5.2</v>
      </c>
      <c r="D18" s="17" t="n">
        <v>-0.4</v>
      </c>
      <c r="E18" s="14" t="n">
        <v>69.90000000000001</v>
      </c>
      <c r="F18" s="14" t="n">
        <v>23</v>
      </c>
      <c r="G18" s="17" t="n">
        <v>0.9</v>
      </c>
      <c r="H18" s="17" t="n">
        <v>3.9</v>
      </c>
      <c r="I18" s="17" t="n">
        <v>-6.3</v>
      </c>
      <c r="J18" s="17" t="n">
        <v>1011.1</v>
      </c>
      <c r="K18" s="18" t="n">
        <v>10.29</v>
      </c>
      <c r="L18" s="17" t="n">
        <v>7.2</v>
      </c>
      <c r="M18" s="17" t="n">
        <v>1.3</v>
      </c>
      <c r="N18" s="17" t="n"/>
    </row>
    <row r="19">
      <c r="A19" s="15" t="n">
        <v>46040</v>
      </c>
      <c r="B19" s="17" t="n">
        <v>1.3</v>
      </c>
      <c r="C19" s="17" t="n">
        <v>-6.5</v>
      </c>
      <c r="D19" s="17" t="n">
        <v>-1.8</v>
      </c>
      <c r="E19" s="14" t="n">
        <v>75.8</v>
      </c>
      <c r="F19" s="14" t="n">
        <v>57</v>
      </c>
      <c r="G19" s="17" t="n">
        <v>0.8</v>
      </c>
      <c r="H19" s="17" t="n">
        <v>4.1</v>
      </c>
      <c r="I19" s="17" t="n">
        <v>-5.6</v>
      </c>
      <c r="J19" s="17" t="n">
        <v>1012.8</v>
      </c>
      <c r="K19" s="18" t="n">
        <v>1.75</v>
      </c>
      <c r="L19" s="17" t="n">
        <v>0</v>
      </c>
      <c r="M19" s="17" t="n">
        <v>0.3</v>
      </c>
      <c r="N19" s="17" t="n">
        <v>0</v>
      </c>
    </row>
    <row r="20">
      <c r="A20" s="15" t="n">
        <v>46041</v>
      </c>
      <c r="B20" s="17" t="n">
        <v>1.7</v>
      </c>
      <c r="C20" s="17" t="n">
        <v>-8.6</v>
      </c>
      <c r="D20" s="17" t="n">
        <v>-2.3</v>
      </c>
      <c r="E20" s="14" t="n">
        <v>58.9</v>
      </c>
      <c r="F20" s="14" t="n">
        <v>28</v>
      </c>
      <c r="G20" s="17" t="n">
        <v>1.8</v>
      </c>
      <c r="H20" s="17" t="n">
        <v>3.3</v>
      </c>
      <c r="I20" s="17" t="n">
        <v>-10.2</v>
      </c>
      <c r="J20" s="17" t="n">
        <v>1013.1</v>
      </c>
      <c r="K20" s="18" t="n">
        <v>6</v>
      </c>
      <c r="L20" s="17" t="n">
        <v>4.8</v>
      </c>
      <c r="M20" s="17" t="n">
        <v>1.1</v>
      </c>
      <c r="N20" s="17" t="n">
        <v>2.4</v>
      </c>
    </row>
    <row r="21">
      <c r="A21" s="15" t="n">
        <v>46042</v>
      </c>
      <c r="B21" s="17" t="n">
        <v>-1.1</v>
      </c>
      <c r="C21" s="17" t="n">
        <v>-12.6</v>
      </c>
      <c r="D21" s="17" t="n">
        <v>-7.9</v>
      </c>
      <c r="E21" s="14" t="n">
        <v>50.9</v>
      </c>
      <c r="F21" s="14" t="n">
        <v>25</v>
      </c>
      <c r="G21" s="17" t="n">
        <v>1.6</v>
      </c>
      <c r="H21" s="17" t="n">
        <v>1.6</v>
      </c>
      <c r="I21" s="17" t="n">
        <v>-16.9</v>
      </c>
      <c r="J21" s="17" t="n">
        <v>1017.5</v>
      </c>
      <c r="K21" s="18" t="n">
        <v>11.57</v>
      </c>
      <c r="L21" s="17" t="n">
        <v>8.1</v>
      </c>
      <c r="M21" s="17" t="n">
        <v>1.1</v>
      </c>
      <c r="N21" s="17" t="n"/>
    </row>
    <row r="22">
      <c r="A22" s="15" t="n">
        <v>46043</v>
      </c>
      <c r="B22" s="17" t="n">
        <v>-3.5</v>
      </c>
      <c r="C22" s="17" t="n">
        <v>-16</v>
      </c>
      <c r="D22" s="17" t="n">
        <v>-10</v>
      </c>
      <c r="E22" s="14" t="n">
        <v>56.3</v>
      </c>
      <c r="F22" s="14" t="n">
        <v>27</v>
      </c>
      <c r="G22" s="17" t="n">
        <v>1.7</v>
      </c>
      <c r="H22" s="17" t="n">
        <v>1.5</v>
      </c>
      <c r="I22" s="17" t="n">
        <v>-17.9</v>
      </c>
      <c r="J22" s="17" t="n">
        <v>1016.6</v>
      </c>
      <c r="K22" s="18" t="n">
        <v>12.37</v>
      </c>
      <c r="L22" s="17" t="n">
        <v>8.199999999999999</v>
      </c>
      <c r="M22" s="17" t="n">
        <v>1.1</v>
      </c>
      <c r="N22" s="17" t="n"/>
    </row>
    <row r="23">
      <c r="A23" s="15" t="n">
        <v>46044</v>
      </c>
      <c r="B23" s="17" t="n">
        <v>-4.5</v>
      </c>
      <c r="C23" s="17" t="n">
        <v>-17.3</v>
      </c>
      <c r="D23" s="17" t="n">
        <v>-10.5</v>
      </c>
      <c r="E23" s="14" t="n">
        <v>53.8</v>
      </c>
      <c r="F23" s="14" t="n">
        <v>24</v>
      </c>
      <c r="G23" s="17" t="n">
        <v>2.1</v>
      </c>
      <c r="H23" s="17" t="n">
        <v>1.3</v>
      </c>
      <c r="I23" s="17" t="n">
        <v>-19.2</v>
      </c>
      <c r="J23" s="17" t="n">
        <v>1017.3</v>
      </c>
      <c r="K23" s="18" t="n">
        <v>12.52</v>
      </c>
      <c r="L23" s="17" t="n">
        <v>8.199999999999999</v>
      </c>
      <c r="M23" s="17" t="n">
        <v>1.2</v>
      </c>
      <c r="N23" s="17" t="n"/>
    </row>
    <row r="24">
      <c r="A24" s="15" t="n">
        <v>46045</v>
      </c>
      <c r="B24" s="17" t="n">
        <v>-0.3</v>
      </c>
      <c r="C24" s="17" t="n">
        <v>-16.8</v>
      </c>
      <c r="D24" s="17" t="n">
        <v>-7.4</v>
      </c>
      <c r="E24" s="14" t="n">
        <v>59.1</v>
      </c>
      <c r="F24" s="14" t="n">
        <v>21</v>
      </c>
      <c r="G24" s="17" t="n">
        <v>1.4</v>
      </c>
      <c r="H24" s="17" t="n">
        <v>2</v>
      </c>
      <c r="I24" s="17" t="n">
        <v>-15</v>
      </c>
      <c r="J24" s="17" t="n">
        <v>1015.5</v>
      </c>
      <c r="K24" s="18" t="n">
        <v>11.26</v>
      </c>
      <c r="L24" s="17" t="n">
        <v>7</v>
      </c>
      <c r="M24" s="17" t="n">
        <v>1.2</v>
      </c>
      <c r="N24" s="17" t="n">
        <v>0</v>
      </c>
    </row>
    <row r="25">
      <c r="A25" s="15" t="n">
        <v>46046</v>
      </c>
      <c r="B25" s="17" t="n">
        <v>-0.8</v>
      </c>
      <c r="C25" s="17" t="n">
        <v>-10.5</v>
      </c>
      <c r="D25" s="17" t="n">
        <v>-5.1</v>
      </c>
      <c r="E25" s="14" t="n">
        <v>44.1</v>
      </c>
      <c r="F25" s="14" t="n">
        <v>17</v>
      </c>
      <c r="G25" s="17" t="n">
        <v>2.4</v>
      </c>
      <c r="H25" s="17" t="n">
        <v>1.7</v>
      </c>
      <c r="I25" s="17" t="n">
        <v>-17</v>
      </c>
      <c r="J25" s="17" t="n">
        <v>1014.7</v>
      </c>
      <c r="K25" s="18" t="n">
        <v>12.35</v>
      </c>
      <c r="L25" s="17" t="n">
        <v>8.1</v>
      </c>
      <c r="M25" s="17" t="n">
        <v>1.6</v>
      </c>
      <c r="N25" s="17" t="n">
        <v>0</v>
      </c>
    </row>
    <row r="26">
      <c r="A26" s="15" t="n">
        <v>46047</v>
      </c>
      <c r="B26" s="17" t="n">
        <v>-0.1</v>
      </c>
      <c r="C26" s="17" t="n">
        <v>-14.7</v>
      </c>
      <c r="D26" s="17" t="n">
        <v>-7.6</v>
      </c>
      <c r="E26" s="14" t="n">
        <v>49.6</v>
      </c>
      <c r="F26" s="14" t="n">
        <v>21</v>
      </c>
      <c r="G26" s="17" t="n">
        <v>1.3</v>
      </c>
      <c r="H26" s="17" t="n">
        <v>1.6</v>
      </c>
      <c r="I26" s="17" t="n">
        <v>-17.2</v>
      </c>
      <c r="J26" s="17" t="n">
        <v>1019.6</v>
      </c>
      <c r="K26" s="18" t="n">
        <v>12.16</v>
      </c>
      <c r="L26" s="17" t="n">
        <v>8.1</v>
      </c>
      <c r="M26" s="17" t="n">
        <v>1.3</v>
      </c>
      <c r="N26" s="17" t="n"/>
    </row>
    <row r="27">
      <c r="A27" s="15" t="n">
        <v>46048</v>
      </c>
      <c r="B27" s="17" t="n">
        <v>-1</v>
      </c>
      <c r="C27" s="17" t="n">
        <v>-12.6</v>
      </c>
      <c r="D27" s="17" t="n">
        <v>-7.6</v>
      </c>
      <c r="E27" s="14" t="n">
        <v>65</v>
      </c>
      <c r="F27" s="14" t="n">
        <v>36</v>
      </c>
      <c r="G27" s="17" t="n">
        <v>0.9</v>
      </c>
      <c r="H27" s="17" t="n">
        <v>2.2</v>
      </c>
      <c r="I27" s="17" t="n">
        <v>-13.4</v>
      </c>
      <c r="J27" s="17" t="n">
        <v>1016.8</v>
      </c>
      <c r="K27" s="18" t="n">
        <v>5.77</v>
      </c>
      <c r="L27" s="17" t="n">
        <v>1.5</v>
      </c>
      <c r="M27" s="17" t="n">
        <v>0.5</v>
      </c>
      <c r="N27" s="17" t="n"/>
    </row>
    <row r="28">
      <c r="A28" s="15" t="n">
        <v>46049</v>
      </c>
      <c r="B28" s="17" t="n">
        <v>1.2</v>
      </c>
      <c r="C28" s="17" t="n">
        <v>-12.8</v>
      </c>
      <c r="D28" s="17" t="n">
        <v>-5.7</v>
      </c>
      <c r="E28" s="14" t="n">
        <v>57.4</v>
      </c>
      <c r="F28" s="14" t="n">
        <v>25</v>
      </c>
      <c r="G28" s="17" t="n">
        <v>1.6</v>
      </c>
      <c r="H28" s="17" t="n">
        <v>2.1</v>
      </c>
      <c r="I28" s="17" t="n">
        <v>-14.1</v>
      </c>
      <c r="J28" s="17" t="n">
        <v>1015.1</v>
      </c>
      <c r="K28" s="18" t="n">
        <v>12.42</v>
      </c>
      <c r="L28" s="17" t="n">
        <v>8.199999999999999</v>
      </c>
      <c r="M28" s="17" t="n">
        <v>1.5</v>
      </c>
      <c r="N28" s="17" t="n"/>
    </row>
    <row r="29">
      <c r="A29" s="15" t="n">
        <v>46050</v>
      </c>
      <c r="B29" s="17" t="n">
        <v>1.1</v>
      </c>
      <c r="C29" s="17" t="n">
        <v>-14.2</v>
      </c>
      <c r="D29" s="17" t="n">
        <v>-6.5</v>
      </c>
      <c r="E29" s="14" t="n">
        <v>49</v>
      </c>
      <c r="F29" s="14" t="n">
        <v>18</v>
      </c>
      <c r="G29" s="17" t="n">
        <v>1.6</v>
      </c>
      <c r="H29" s="17" t="n">
        <v>1.6</v>
      </c>
      <c r="I29" s="17" t="n">
        <v>-17.1</v>
      </c>
      <c r="J29" s="17" t="n">
        <v>1018.5</v>
      </c>
      <c r="K29" s="18" t="n">
        <v>13.16</v>
      </c>
      <c r="L29" s="17" t="n">
        <v>8.4</v>
      </c>
      <c r="M29" s="17" t="n">
        <v>1.6</v>
      </c>
      <c r="N29" s="17" t="n"/>
    </row>
    <row r="30">
      <c r="A30" s="15" t="n">
        <v>46051</v>
      </c>
      <c r="B30" s="17" t="n">
        <v>1.1</v>
      </c>
      <c r="C30" s="17" t="n">
        <v>-14.1</v>
      </c>
      <c r="D30" s="17" t="n">
        <v>-6.5</v>
      </c>
      <c r="E30" s="14" t="n">
        <v>45.5</v>
      </c>
      <c r="F30" s="14" t="n">
        <v>16</v>
      </c>
      <c r="G30" s="17" t="n">
        <v>1.7</v>
      </c>
      <c r="H30" s="17" t="n">
        <v>1.5</v>
      </c>
      <c r="I30" s="17" t="n">
        <v>-18.1</v>
      </c>
      <c r="J30" s="17" t="n">
        <v>1019.2</v>
      </c>
      <c r="K30" s="18" t="n">
        <v>13.26</v>
      </c>
      <c r="L30" s="17" t="n">
        <v>8.4</v>
      </c>
      <c r="M30" s="17" t="n">
        <v>1.7</v>
      </c>
      <c r="N30" s="17" t="n"/>
    </row>
    <row r="31">
      <c r="A31" s="15" t="n">
        <v>46052</v>
      </c>
      <c r="B31" s="17" t="n">
        <v>-0.4</v>
      </c>
      <c r="C31" s="17" t="n">
        <v>-13.7</v>
      </c>
      <c r="D31" s="17" t="n">
        <v>-7.3</v>
      </c>
      <c r="E31" s="14" t="n">
        <v>49.3</v>
      </c>
      <c r="F31" s="14" t="n">
        <v>21</v>
      </c>
      <c r="G31" s="17" t="n">
        <v>1.2</v>
      </c>
      <c r="H31" s="17" t="n">
        <v>1.6</v>
      </c>
      <c r="I31" s="17" t="n">
        <v>-17.2</v>
      </c>
      <c r="J31" s="17" t="n">
        <v>1020</v>
      </c>
      <c r="K31" s="18" t="n">
        <v>12.91</v>
      </c>
      <c r="L31" s="17" t="n">
        <v>8.4</v>
      </c>
      <c r="M31" s="17" t="n">
        <v>1.3</v>
      </c>
      <c r="N31" s="17" t="n"/>
    </row>
    <row r="32">
      <c r="A32" s="15" t="n">
        <v>46053</v>
      </c>
      <c r="B32" s="17" t="n">
        <v>2.4</v>
      </c>
      <c r="C32" s="17" t="n">
        <v>-13.9</v>
      </c>
      <c r="D32" s="17" t="n">
        <v>-5.4</v>
      </c>
      <c r="E32" s="14" t="n">
        <v>50.8</v>
      </c>
      <c r="F32" s="14" t="n">
        <v>19</v>
      </c>
      <c r="G32" s="17" t="n">
        <v>1.7</v>
      </c>
      <c r="H32" s="17" t="n">
        <v>1.9</v>
      </c>
      <c r="I32" s="17" t="n">
        <v>-15.5</v>
      </c>
      <c r="J32" s="17" t="n">
        <v>1017.7</v>
      </c>
      <c r="K32" s="18" t="n">
        <v>12.73</v>
      </c>
      <c r="L32" s="17" t="n">
        <v>8.4</v>
      </c>
      <c r="M32" s="17" t="n">
        <v>1.6</v>
      </c>
      <c r="N32" s="17" t="n"/>
    </row>
    <row r="33">
      <c r="A33" s="15" t="n">
        <v>46054</v>
      </c>
      <c r="B33" s="17" t="n">
        <v>2.2</v>
      </c>
      <c r="C33" s="17" t="n">
        <v>-12.2</v>
      </c>
      <c r="D33" s="17" t="n">
        <v>-3.9</v>
      </c>
      <c r="E33" s="14" t="n">
        <v>57.1</v>
      </c>
      <c r="F33" s="14" t="n">
        <v>27</v>
      </c>
      <c r="G33" s="17" t="n">
        <v>1.6</v>
      </c>
      <c r="H33" s="17" t="n">
        <v>2.4</v>
      </c>
      <c r="I33" s="17" t="n">
        <v>-12.4</v>
      </c>
      <c r="J33" s="17" t="n">
        <v>1015.5</v>
      </c>
      <c r="K33" s="18" t="n">
        <v>13.29</v>
      </c>
      <c r="L33" s="17" t="n">
        <v>8.6</v>
      </c>
      <c r="M33" s="17" t="n">
        <v>1.5</v>
      </c>
      <c r="N33" s="17" t="n">
        <v>0</v>
      </c>
    </row>
    <row r="34">
      <c r="A34" s="15" t="n">
        <v>46055</v>
      </c>
      <c r="B34" s="17" t="n">
        <v>2</v>
      </c>
      <c r="C34" s="17" t="n">
        <v>-9.199999999999999</v>
      </c>
      <c r="D34" s="17" t="n">
        <v>-3.9</v>
      </c>
      <c r="E34" s="14" t="n">
        <v>70.8</v>
      </c>
      <c r="F34" s="14" t="n">
        <v>35</v>
      </c>
      <c r="G34" s="17" t="n">
        <v>1.2</v>
      </c>
      <c r="H34" s="17" t="n">
        <v>3.1</v>
      </c>
      <c r="I34" s="17" t="n">
        <v>-9</v>
      </c>
      <c r="J34" s="17" t="n">
        <v>1016.4</v>
      </c>
      <c r="K34" s="18" t="n">
        <v>10.58</v>
      </c>
      <c r="L34" s="17" t="n">
        <v>7</v>
      </c>
      <c r="M34" s="17" t="n">
        <v>1.2</v>
      </c>
      <c r="N34" s="17" t="n">
        <v>2.1</v>
      </c>
    </row>
    <row r="35">
      <c r="A35" s="15" t="n">
        <v>46056</v>
      </c>
      <c r="B35" s="17" t="n">
        <v>5.2</v>
      </c>
      <c r="C35" s="17" t="n">
        <v>-12.3</v>
      </c>
      <c r="D35" s="17" t="n">
        <v>-3.8</v>
      </c>
      <c r="E35" s="14" t="n">
        <v>65.59999999999999</v>
      </c>
      <c r="F35" s="14" t="n">
        <v>31</v>
      </c>
      <c r="G35" s="17" t="n">
        <v>1.4</v>
      </c>
      <c r="H35" s="17" t="n">
        <v>2.9</v>
      </c>
      <c r="I35" s="17" t="n">
        <v>-10.1</v>
      </c>
      <c r="J35" s="17" t="n">
        <v>1018.8</v>
      </c>
      <c r="K35" s="18" t="n">
        <v>14.18</v>
      </c>
      <c r="L35" s="17" t="n">
        <v>8.9</v>
      </c>
      <c r="M35" s="17" t="n">
        <v>1.5</v>
      </c>
      <c r="N35" s="17" t="n"/>
    </row>
    <row r="36">
      <c r="A36" s="15" t="n">
        <v>46057</v>
      </c>
      <c r="B36" s="17" t="n">
        <v>2.9</v>
      </c>
      <c r="C36" s="17" t="n">
        <v>-7.8</v>
      </c>
      <c r="D36" s="17" t="n">
        <v>-2.3</v>
      </c>
      <c r="E36" s="14" t="n">
        <v>79.90000000000001</v>
      </c>
      <c r="F36" s="14" t="n">
        <v>64</v>
      </c>
      <c r="G36" s="17" t="n">
        <v>0.6</v>
      </c>
      <c r="H36" s="17" t="n">
        <v>4.1</v>
      </c>
      <c r="I36" s="17" t="n">
        <v>-5.4</v>
      </c>
      <c r="J36" s="17" t="n">
        <v>1013.2</v>
      </c>
      <c r="K36" s="18" t="n">
        <v>3.98</v>
      </c>
      <c r="L36" s="17" t="n">
        <v>0</v>
      </c>
      <c r="M36" s="17" t="n">
        <v>0.4</v>
      </c>
      <c r="N36" s="17" t="n"/>
    </row>
    <row r="37">
      <c r="A37" s="15" t="n">
        <v>46058</v>
      </c>
      <c r="B37" s="17" t="n">
        <v>9.4</v>
      </c>
      <c r="C37" s="17" t="n">
        <v>-4.4</v>
      </c>
      <c r="D37" s="17" t="n">
        <v>2.2</v>
      </c>
      <c r="E37" s="14" t="n">
        <v>75.8</v>
      </c>
      <c r="F37" s="14" t="n">
        <v>54</v>
      </c>
      <c r="G37" s="17" t="n">
        <v>1.6</v>
      </c>
      <c r="H37" s="17" t="n">
        <v>5.4</v>
      </c>
      <c r="I37" s="17" t="n">
        <v>-1.9</v>
      </c>
      <c r="J37" s="17" t="n">
        <v>1008.2</v>
      </c>
      <c r="K37" s="18" t="n">
        <v>5.99</v>
      </c>
      <c r="L37" s="17" t="n">
        <v>1.9</v>
      </c>
      <c r="M37" s="17" t="n">
        <v>1.1</v>
      </c>
      <c r="N37" s="17" t="n">
        <v>0</v>
      </c>
    </row>
    <row r="38">
      <c r="A38" s="15" t="n">
        <v>46059</v>
      </c>
      <c r="B38" s="17" t="n">
        <v>1.2</v>
      </c>
      <c r="C38" s="17" t="n">
        <v>-7.1</v>
      </c>
      <c r="D38" s="17" t="n">
        <v>-3.4</v>
      </c>
      <c r="E38" s="14" t="n">
        <v>35.6</v>
      </c>
      <c r="F38" s="14" t="n">
        <v>18</v>
      </c>
      <c r="G38" s="17" t="n">
        <v>2.2</v>
      </c>
      <c r="H38" s="17" t="n">
        <v>1.7</v>
      </c>
      <c r="I38" s="17" t="n">
        <v>-17.1</v>
      </c>
      <c r="J38" s="17" t="n">
        <v>1013.1</v>
      </c>
      <c r="K38" s="18" t="n">
        <v>13.86</v>
      </c>
      <c r="L38" s="17" t="n">
        <v>8.9</v>
      </c>
      <c r="M38" s="17" t="n">
        <v>1.8</v>
      </c>
      <c r="N38" s="17" t="n"/>
    </row>
    <row r="39">
      <c r="A39" s="15" t="n">
        <v>46060</v>
      </c>
      <c r="B39" s="17" t="n">
        <v>-1.8</v>
      </c>
      <c r="C39" s="17" t="n">
        <v>-11.5</v>
      </c>
      <c r="D39" s="17" t="n">
        <v>-7.1</v>
      </c>
      <c r="E39" s="14" t="n">
        <v>39.5</v>
      </c>
      <c r="F39" s="14" t="n">
        <v>17</v>
      </c>
      <c r="G39" s="17" t="n">
        <v>2.4</v>
      </c>
      <c r="H39" s="17" t="n">
        <v>1.4</v>
      </c>
      <c r="I39" s="17" t="n">
        <v>-19.4</v>
      </c>
      <c r="J39" s="17" t="n">
        <v>1013.5</v>
      </c>
      <c r="K39" s="18" t="n">
        <v>14.61</v>
      </c>
      <c r="L39" s="17" t="n">
        <v>9.300000000000001</v>
      </c>
      <c r="M39" s="17" t="n">
        <v>1.7</v>
      </c>
      <c r="N39" s="17" t="n"/>
    </row>
    <row r="40">
      <c r="A40" s="15" t="n">
        <v>46061</v>
      </c>
      <c r="B40" s="17" t="n">
        <v>-2.3</v>
      </c>
      <c r="C40" s="17" t="n">
        <v>-16.2</v>
      </c>
      <c r="D40" s="17" t="n">
        <v>-8.800000000000001</v>
      </c>
      <c r="E40" s="14" t="n">
        <v>43.4</v>
      </c>
      <c r="F40" s="14" t="n">
        <v>20</v>
      </c>
      <c r="G40" s="17" t="n">
        <v>1.9</v>
      </c>
      <c r="H40" s="17" t="n">
        <v>1.3</v>
      </c>
      <c r="I40" s="17" t="n">
        <v>-20</v>
      </c>
      <c r="J40" s="17" t="n">
        <v>1017.8</v>
      </c>
      <c r="K40" s="18" t="n">
        <v>14.4</v>
      </c>
      <c r="L40" s="17" t="n">
        <v>9.4</v>
      </c>
      <c r="M40" s="17" t="n">
        <v>1.4</v>
      </c>
      <c r="N40" s="17" t="n"/>
    </row>
    <row r="41">
      <c r="A41" s="15" t="n">
        <v>46062</v>
      </c>
      <c r="B41" s="17" t="n">
        <v>3.7</v>
      </c>
      <c r="C41" s="17" t="n">
        <v>-13.9</v>
      </c>
      <c r="D41" s="17" t="n">
        <v>-5.6</v>
      </c>
      <c r="E41" s="14" t="n">
        <v>54.8</v>
      </c>
      <c r="F41" s="14" t="n">
        <v>22</v>
      </c>
      <c r="G41" s="17" t="n">
        <v>1.1</v>
      </c>
      <c r="H41" s="17" t="n">
        <v>2.1</v>
      </c>
      <c r="I41" s="17" t="n">
        <v>-14.4</v>
      </c>
      <c r="J41" s="17" t="n">
        <v>1018.4</v>
      </c>
      <c r="K41" s="18" t="n">
        <v>14.58</v>
      </c>
      <c r="L41" s="17" t="n">
        <v>9.300000000000001</v>
      </c>
      <c r="M41" s="17" t="n">
        <v>1.5</v>
      </c>
      <c r="N41" s="17" t="n"/>
    </row>
    <row r="42">
      <c r="A42" s="15" t="n">
        <v>46063</v>
      </c>
      <c r="B42" s="17" t="n">
        <v>3</v>
      </c>
      <c r="C42" s="17" t="n">
        <v>-7.7</v>
      </c>
      <c r="D42" s="17" t="n">
        <v>-2.7</v>
      </c>
      <c r="E42" s="14" t="n">
        <v>76</v>
      </c>
      <c r="F42" s="14" t="n">
        <v>48</v>
      </c>
      <c r="G42" s="17" t="n">
        <v>0.6</v>
      </c>
      <c r="H42" s="17" t="n">
        <v>3.8</v>
      </c>
      <c r="I42" s="17" t="n">
        <v>-6.5</v>
      </c>
      <c r="J42" s="17" t="n">
        <v>1011.5</v>
      </c>
      <c r="K42" s="18" t="n">
        <v>4.34</v>
      </c>
      <c r="L42" s="17" t="n">
        <v>0.3</v>
      </c>
      <c r="M42" s="17" t="n">
        <v>0.5</v>
      </c>
      <c r="N42" s="17" t="n">
        <v>0</v>
      </c>
    </row>
    <row r="43">
      <c r="A43" s="15" t="n">
        <v>46064</v>
      </c>
      <c r="B43" s="17" t="n">
        <v>6.5</v>
      </c>
      <c r="C43" s="17" t="n">
        <v>-4.6</v>
      </c>
      <c r="D43" s="17" t="n">
        <v>0.2</v>
      </c>
      <c r="E43" s="14" t="n">
        <v>77.90000000000001</v>
      </c>
      <c r="F43" s="14" t="n">
        <v>49</v>
      </c>
      <c r="G43" s="17" t="n">
        <v>1.1</v>
      </c>
      <c r="H43" s="17" t="n">
        <v>4.7</v>
      </c>
      <c r="I43" s="17" t="n">
        <v>-3.5</v>
      </c>
      <c r="J43" s="17" t="n">
        <v>1010.9</v>
      </c>
      <c r="K43" s="18" t="n">
        <v>7.1</v>
      </c>
      <c r="L43" s="17" t="n">
        <v>2.7</v>
      </c>
      <c r="M43" s="17" t="n">
        <v>0.9</v>
      </c>
      <c r="N43" s="17" t="n"/>
    </row>
    <row r="44">
      <c r="A44" s="15" t="n">
        <v>46065</v>
      </c>
      <c r="B44" s="17" t="n">
        <v>8.9</v>
      </c>
      <c r="C44" s="17" t="n">
        <v>-7.5</v>
      </c>
      <c r="D44" s="17" t="n">
        <v>-0.2</v>
      </c>
      <c r="E44" s="14" t="n">
        <v>73.5</v>
      </c>
      <c r="F44" s="14" t="n">
        <v>38</v>
      </c>
      <c r="G44" s="17" t="n">
        <v>1.1</v>
      </c>
      <c r="H44" s="17" t="n">
        <v>4.3</v>
      </c>
      <c r="I44" s="17" t="n">
        <v>-4.9</v>
      </c>
      <c r="J44" s="17" t="n">
        <v>1012.2</v>
      </c>
      <c r="K44" s="18" t="n">
        <v>13.08</v>
      </c>
      <c r="L44" s="17" t="n">
        <v>8.6</v>
      </c>
      <c r="M44" s="17" t="n">
        <v>1.6</v>
      </c>
      <c r="N44" s="17" t="n"/>
    </row>
    <row r="45">
      <c r="A45" s="15" t="n">
        <v>46066</v>
      </c>
      <c r="B45" s="17" t="n">
        <v>7</v>
      </c>
      <c r="C45" s="17" t="n">
        <v>-4.4</v>
      </c>
      <c r="D45" s="17" t="n">
        <v>1.4</v>
      </c>
      <c r="E45" s="14" t="n">
        <v>79.09999999999999</v>
      </c>
      <c r="F45" s="14" t="n">
        <v>60</v>
      </c>
      <c r="G45" s="17" t="n">
        <v>0.7</v>
      </c>
      <c r="H45" s="17" t="n">
        <v>5.3</v>
      </c>
      <c r="I45" s="17" t="n">
        <v>-2.1</v>
      </c>
      <c r="J45" s="17" t="n">
        <v>1010.1</v>
      </c>
      <c r="K45" s="18" t="n">
        <v>5.71</v>
      </c>
      <c r="L45" s="17" t="n">
        <v>1.1</v>
      </c>
      <c r="M45" s="17" t="n">
        <v>0.7</v>
      </c>
      <c r="N45" s="17" t="n"/>
    </row>
    <row r="46">
      <c r="A46" s="15" t="n">
        <v>46067</v>
      </c>
      <c r="B46" s="17" t="n">
        <v>12.1</v>
      </c>
      <c r="C46" s="17" t="n">
        <v>-1.5</v>
      </c>
      <c r="D46" s="17" t="n">
        <v>4</v>
      </c>
      <c r="E46" s="14" t="n">
        <v>76.8</v>
      </c>
      <c r="F46" s="14" t="n">
        <v>47</v>
      </c>
      <c r="G46" s="17" t="n">
        <v>1</v>
      </c>
      <c r="H46" s="17" t="n">
        <v>6.1</v>
      </c>
      <c r="I46" s="17" t="n">
        <v>-0.1</v>
      </c>
      <c r="J46" s="17" t="n">
        <v>1007.6</v>
      </c>
      <c r="K46" s="18" t="n">
        <v>10.49</v>
      </c>
      <c r="L46" s="17" t="n">
        <v>5.2</v>
      </c>
      <c r="M46" s="17" t="n">
        <v>1.4</v>
      </c>
      <c r="N46" s="17" t="n"/>
    </row>
    <row r="47">
      <c r="A47" s="15" t="n">
        <v>46068</v>
      </c>
      <c r="B47" s="17" t="n">
        <v>13.6</v>
      </c>
      <c r="C47" s="17" t="n">
        <v>-2</v>
      </c>
      <c r="D47" s="17" t="n">
        <v>4</v>
      </c>
      <c r="E47" s="14" t="n">
        <v>58.9</v>
      </c>
      <c r="F47" s="14" t="n">
        <v>13</v>
      </c>
      <c r="G47" s="17" t="n">
        <v>1.2</v>
      </c>
      <c r="H47" s="17" t="n">
        <v>4.3</v>
      </c>
      <c r="I47" s="17" t="n">
        <v>-5.6</v>
      </c>
      <c r="J47" s="17" t="n">
        <v>1009.1</v>
      </c>
      <c r="K47" s="18" t="n">
        <v>13.16</v>
      </c>
      <c r="L47" s="17" t="n">
        <v>7.9</v>
      </c>
      <c r="M47" s="17" t="n">
        <v>2.4</v>
      </c>
      <c r="N47" s="17" t="n"/>
    </row>
    <row r="48">
      <c r="A48" s="15" t="n">
        <v>46069</v>
      </c>
      <c r="B48" s="17" t="n">
        <v>9.6</v>
      </c>
      <c r="C48" s="17" t="n">
        <v>-5</v>
      </c>
      <c r="D48" s="17" t="n">
        <v>1.2</v>
      </c>
      <c r="E48" s="14" t="n">
        <v>64.8</v>
      </c>
      <c r="F48" s="14" t="n">
        <v>32</v>
      </c>
      <c r="G48" s="17" t="n">
        <v>0.9</v>
      </c>
      <c r="H48" s="17" t="n">
        <v>4.1</v>
      </c>
      <c r="I48" s="17" t="n">
        <v>-5.4</v>
      </c>
      <c r="J48" s="17" t="n">
        <v>1013.4</v>
      </c>
      <c r="K48" s="18" t="n">
        <v>15.1</v>
      </c>
      <c r="L48" s="17" t="n">
        <v>7.9</v>
      </c>
      <c r="M48" s="17" t="n">
        <v>1.8</v>
      </c>
      <c r="N48" s="17" t="n"/>
    </row>
    <row r="49">
      <c r="A49" s="15" t="n">
        <v>46070</v>
      </c>
      <c r="B49" s="17" t="n">
        <v>8.800000000000001</v>
      </c>
      <c r="C49" s="17" t="n">
        <v>-7.2</v>
      </c>
      <c r="D49" s="17" t="n">
        <v>1</v>
      </c>
      <c r="E49" s="14" t="n">
        <v>54.6</v>
      </c>
      <c r="F49" s="14" t="n">
        <v>14</v>
      </c>
      <c r="G49" s="17" t="n">
        <v>1.9</v>
      </c>
      <c r="H49" s="17" t="n">
        <v>3.1</v>
      </c>
      <c r="I49" s="17" t="n">
        <v>-9.5</v>
      </c>
      <c r="J49" s="17" t="n">
        <v>1011.7</v>
      </c>
      <c r="K49" s="18" t="n">
        <v>16.62</v>
      </c>
      <c r="L49" s="17" t="n">
        <v>9.699999999999999</v>
      </c>
      <c r="M49" s="17" t="n">
        <v>2.8</v>
      </c>
      <c r="N49" s="17" t="n"/>
    </row>
    <row r="50">
      <c r="A50" s="15" t="n">
        <v>46071</v>
      </c>
      <c r="B50" s="17" t="n">
        <v>8.6</v>
      </c>
      <c r="C50" s="17" t="n">
        <v>-5.7</v>
      </c>
      <c r="D50" s="17" t="n">
        <v>0.8</v>
      </c>
      <c r="E50" s="14" t="n">
        <v>59.6</v>
      </c>
      <c r="F50" s="14" t="n">
        <v>24</v>
      </c>
      <c r="G50" s="17" t="n">
        <v>1.2</v>
      </c>
      <c r="H50" s="17" t="n">
        <v>3.5</v>
      </c>
      <c r="I50" s="17" t="n">
        <v>-7.5</v>
      </c>
      <c r="J50" s="17" t="n">
        <v>1010.7</v>
      </c>
      <c r="K50" s="18" t="n">
        <v>15.54</v>
      </c>
      <c r="L50" s="17" t="n">
        <v>9.6</v>
      </c>
      <c r="M50" s="17" t="n">
        <v>2</v>
      </c>
      <c r="N50" s="17" t="n"/>
    </row>
    <row r="51">
      <c r="A51" s="15" t="n">
        <v>46072</v>
      </c>
      <c r="B51" s="17" t="n">
        <v>9.6</v>
      </c>
      <c r="C51" s="17" t="n">
        <v>-8</v>
      </c>
      <c r="D51" s="17" t="n">
        <v>0.1</v>
      </c>
      <c r="E51" s="14" t="n">
        <v>60.8</v>
      </c>
      <c r="F51" s="14" t="n">
        <v>26</v>
      </c>
      <c r="G51" s="17" t="n">
        <v>1.1</v>
      </c>
      <c r="H51" s="17" t="n">
        <v>3.4</v>
      </c>
      <c r="I51" s="17" t="n">
        <v>-7.8</v>
      </c>
      <c r="J51" s="17" t="n">
        <v>1013.4</v>
      </c>
      <c r="K51" s="18" t="n">
        <v>16.85</v>
      </c>
      <c r="L51" s="17" t="n">
        <v>9.800000000000001</v>
      </c>
      <c r="M51" s="17" t="n">
        <v>2.2</v>
      </c>
      <c r="N51" s="17" t="n"/>
    </row>
    <row r="52">
      <c r="A52" s="15" t="n">
        <v>46073</v>
      </c>
      <c r="B52" s="17" t="n">
        <v>12.7</v>
      </c>
      <c r="C52" s="17" t="n">
        <v>-6.4</v>
      </c>
      <c r="D52" s="17" t="n">
        <v>2.2</v>
      </c>
      <c r="E52" s="14" t="n">
        <v>64.40000000000001</v>
      </c>
      <c r="F52" s="14" t="n">
        <v>33</v>
      </c>
      <c r="G52" s="17" t="n">
        <v>1</v>
      </c>
      <c r="H52" s="17" t="n">
        <v>4.3</v>
      </c>
      <c r="I52" s="17" t="n">
        <v>-4.8</v>
      </c>
      <c r="J52" s="17" t="n">
        <v>1008.1</v>
      </c>
      <c r="K52" s="18" t="n">
        <v>14.59</v>
      </c>
      <c r="L52" s="17" t="n">
        <v>9.1</v>
      </c>
      <c r="M52" s="17" t="n">
        <v>1.9</v>
      </c>
      <c r="N52" s="17" t="n"/>
    </row>
    <row r="53">
      <c r="A53" s="15" t="n">
        <v>46074</v>
      </c>
      <c r="B53" s="17" t="n">
        <v>17.8</v>
      </c>
      <c r="C53" s="17" t="n">
        <v>-4.3</v>
      </c>
      <c r="D53" s="17" t="n">
        <v>6.9</v>
      </c>
      <c r="E53" s="14" t="n">
        <v>58.9</v>
      </c>
      <c r="F53" s="14" t="n">
        <v>26</v>
      </c>
      <c r="G53" s="17" t="n">
        <v>1.4</v>
      </c>
      <c r="H53" s="17" t="n">
        <v>5.2</v>
      </c>
      <c r="I53" s="17" t="n">
        <v>-2.3</v>
      </c>
      <c r="J53" s="17" t="n">
        <v>1001.6</v>
      </c>
      <c r="K53" s="18" t="n">
        <v>14.69</v>
      </c>
      <c r="L53" s="17" t="n">
        <v>9.6</v>
      </c>
      <c r="M53" s="17" t="n">
        <v>2.8</v>
      </c>
      <c r="N53" s="17" t="n"/>
    </row>
    <row r="54">
      <c r="A54" s="15" t="n">
        <v>46075</v>
      </c>
      <c r="B54" s="17" t="n">
        <v>12.9</v>
      </c>
      <c r="C54" s="17" t="n">
        <v>0.6</v>
      </c>
      <c r="D54" s="17" t="n">
        <v>5.2</v>
      </c>
      <c r="E54" s="14" t="n">
        <v>50.4</v>
      </c>
      <c r="F54" s="14" t="n">
        <v>14</v>
      </c>
      <c r="G54" s="17" t="n">
        <v>2.7</v>
      </c>
      <c r="H54" s="17" t="n">
        <v>4.6</v>
      </c>
      <c r="I54" s="17" t="n">
        <v>-6.5</v>
      </c>
      <c r="J54" s="17" t="n">
        <v>999.5</v>
      </c>
      <c r="K54" s="18" t="n">
        <v>6.7</v>
      </c>
      <c r="L54" s="17" t="n">
        <v>3</v>
      </c>
      <c r="M54" s="17" t="n">
        <v>2.7</v>
      </c>
      <c r="N54" s="17" t="n">
        <v>0.3</v>
      </c>
    </row>
    <row r="55">
      <c r="A55" s="15" t="n">
        <v>46076</v>
      </c>
      <c r="B55" s="17" t="n">
        <v>7.7</v>
      </c>
      <c r="C55" s="17" t="n">
        <v>-2</v>
      </c>
      <c r="D55" s="17" t="n">
        <v>2.6</v>
      </c>
      <c r="E55" s="14" t="n">
        <v>22.3</v>
      </c>
      <c r="F55" s="14" t="n">
        <v>10</v>
      </c>
      <c r="G55" s="17" t="n">
        <v>2.9</v>
      </c>
      <c r="H55" s="17" t="n">
        <v>1.6</v>
      </c>
      <c r="I55" s="17" t="n">
        <v>-17.2</v>
      </c>
      <c r="J55" s="17" t="n">
        <v>1014.1</v>
      </c>
      <c r="K55" s="18" t="n">
        <v>15.24</v>
      </c>
      <c r="L55" s="17" t="n">
        <v>7.8</v>
      </c>
      <c r="M55" s="17" t="n">
        <v>2.9</v>
      </c>
      <c r="N55" s="17" t="n"/>
    </row>
    <row r="56">
      <c r="A56" s="15" t="n">
        <v>46077</v>
      </c>
      <c r="B56" s="17" t="n">
        <v>5.2</v>
      </c>
      <c r="C56" s="17" t="n">
        <v>-3.8</v>
      </c>
      <c r="D56" s="17" t="n">
        <v>1.1</v>
      </c>
      <c r="E56" s="14" t="n">
        <v>42</v>
      </c>
      <c r="F56" s="14" t="n">
        <v>24</v>
      </c>
      <c r="G56" s="17" t="n">
        <v>0.9</v>
      </c>
      <c r="H56" s="17" t="n">
        <v>2.7</v>
      </c>
      <c r="I56" s="17" t="n">
        <v>-11</v>
      </c>
      <c r="J56" s="17" t="n">
        <v>1015.4</v>
      </c>
      <c r="K56" s="18" t="n">
        <v>4.71</v>
      </c>
      <c r="L56" s="17" t="n">
        <v>0.3</v>
      </c>
      <c r="M56" s="17" t="n">
        <v>0.9</v>
      </c>
      <c r="N56" s="17" t="n"/>
    </row>
    <row r="57">
      <c r="A57" s="15" t="n">
        <v>46078</v>
      </c>
      <c r="B57" s="17" t="n">
        <v>13.4</v>
      </c>
      <c r="C57" s="17" t="n">
        <v>-4.7</v>
      </c>
      <c r="D57" s="17" t="n">
        <v>4.2</v>
      </c>
      <c r="E57" s="14" t="n">
        <v>55.1</v>
      </c>
      <c r="F57" s="14" t="n">
        <v>30</v>
      </c>
      <c r="G57" s="17" t="n">
        <v>2.6</v>
      </c>
      <c r="H57" s="17" t="n">
        <v>4.3</v>
      </c>
      <c r="I57" s="17" t="n">
        <v>-4.8</v>
      </c>
      <c r="J57" s="17" t="n">
        <v>1014.2</v>
      </c>
      <c r="K57" s="18" t="n">
        <v>17.57</v>
      </c>
      <c r="L57" s="17" t="n">
        <v>10</v>
      </c>
      <c r="M57" s="17" t="n">
        <v>2.8</v>
      </c>
      <c r="N57" s="17" t="n"/>
    </row>
    <row r="58">
      <c r="A58" s="15" t="n">
        <v>46079</v>
      </c>
      <c r="B58" s="17" t="n">
        <v>11.8</v>
      </c>
      <c r="C58" s="17" t="n">
        <v>-3.4</v>
      </c>
      <c r="D58" s="17" t="n">
        <v>5.3</v>
      </c>
      <c r="E58" s="14" t="n">
        <v>64.5</v>
      </c>
      <c r="F58" s="14" t="n">
        <v>36</v>
      </c>
      <c r="G58" s="17" t="n">
        <v>1.2</v>
      </c>
      <c r="H58" s="17" t="n">
        <v>5.5</v>
      </c>
      <c r="I58" s="17" t="n">
        <v>-1.6</v>
      </c>
      <c r="J58" s="17" t="n">
        <v>1010.9</v>
      </c>
      <c r="K58" s="18" t="n">
        <v>13.02</v>
      </c>
      <c r="L58" s="17" t="n">
        <v>6.1</v>
      </c>
      <c r="M58" s="17" t="n">
        <v>1.8</v>
      </c>
      <c r="N58" s="17" t="n"/>
    </row>
    <row r="59">
      <c r="A59" s="15" t="n">
        <v>46080</v>
      </c>
      <c r="B59" s="17" t="n">
        <v>10.4</v>
      </c>
      <c r="C59" s="17" t="n">
        <v>0.5</v>
      </c>
      <c r="D59" s="17" t="n">
        <v>6.4</v>
      </c>
      <c r="E59" s="14" t="n">
        <v>64.59999999999999</v>
      </c>
      <c r="F59" s="14" t="n">
        <v>48</v>
      </c>
      <c r="G59" s="17" t="n">
        <v>2.5</v>
      </c>
      <c r="H59" s="17" t="n">
        <v>6.1</v>
      </c>
      <c r="I59" s="17" t="n">
        <v>0</v>
      </c>
      <c r="J59" s="17" t="n">
        <v>1007.9</v>
      </c>
      <c r="K59" s="18" t="n">
        <v>11.83</v>
      </c>
      <c r="L59" s="17" t="n">
        <v>6</v>
      </c>
      <c r="M59" s="17" t="n">
        <v>1.8</v>
      </c>
      <c r="N59" s="17" t="n"/>
    </row>
    <row r="60">
      <c r="A60" s="15" t="n">
        <v>46081</v>
      </c>
      <c r="B60" s="17" t="n">
        <v>15.5</v>
      </c>
      <c r="C60" s="17" t="n">
        <v>-3</v>
      </c>
      <c r="D60" s="17" t="n">
        <v>5.6</v>
      </c>
      <c r="E60" s="14" t="n">
        <v>65</v>
      </c>
      <c r="F60" s="14" t="n">
        <v>27</v>
      </c>
      <c r="G60" s="17" t="n">
        <v>2.2</v>
      </c>
      <c r="H60" s="17" t="n">
        <v>5.5</v>
      </c>
      <c r="I60" s="17" t="n">
        <v>-1.5</v>
      </c>
      <c r="J60" s="17" t="n">
        <v>1012.7</v>
      </c>
      <c r="K60" s="18" t="n">
        <v>17.23</v>
      </c>
      <c r="L60" s="17" t="n">
        <v>10</v>
      </c>
      <c r="M60" s="17" t="n">
        <v>2.8</v>
      </c>
      <c r="N60" s="17" t="n"/>
    </row>
    <row r="61">
      <c r="A61" s="15" t="n">
        <v>46082</v>
      </c>
      <c r="B61" s="17" t="n">
        <v>10</v>
      </c>
      <c r="C61" s="17" t="n">
        <v>0.6</v>
      </c>
      <c r="D61" s="17" t="n">
        <v>5.5</v>
      </c>
      <c r="E61" s="14" t="n">
        <v>71</v>
      </c>
      <c r="F61" s="14" t="n">
        <v>52</v>
      </c>
      <c r="G61" s="17" t="n">
        <v>2.1</v>
      </c>
      <c r="H61" s="17" t="n">
        <v>6.3</v>
      </c>
      <c r="I61" s="17" t="n">
        <v>0.5</v>
      </c>
      <c r="J61" s="17" t="n">
        <v>1016</v>
      </c>
      <c r="K61" s="18" t="n">
        <v>7.06</v>
      </c>
      <c r="L61" s="17" t="n">
        <v>0</v>
      </c>
      <c r="M61" s="17" t="n">
        <v>1.4</v>
      </c>
      <c r="N61" s="17" t="n">
        <v>0</v>
      </c>
    </row>
    <row r="62">
      <c r="A62" s="15" t="n">
        <v>46083</v>
      </c>
      <c r="B62" s="17" t="n">
        <v>5.7</v>
      </c>
      <c r="C62" s="17" t="n">
        <v>1.3</v>
      </c>
      <c r="D62" s="17" t="n">
        <v>3.6</v>
      </c>
      <c r="E62" s="14" t="n">
        <v>82</v>
      </c>
      <c r="F62" s="14" t="n">
        <v>65</v>
      </c>
      <c r="G62" s="17" t="n">
        <v>2.4</v>
      </c>
      <c r="H62" s="17" t="n">
        <v>6.4</v>
      </c>
      <c r="I62" s="17" t="n">
        <v>0.7</v>
      </c>
      <c r="J62" s="17" t="n">
        <v>1013.6</v>
      </c>
      <c r="K62" s="18" t="n">
        <v>2.45</v>
      </c>
      <c r="L62" s="17" t="n">
        <v>0</v>
      </c>
      <c r="M62" s="17" t="n">
        <v>0.5</v>
      </c>
      <c r="N62" s="17" t="n">
        <v>12.3</v>
      </c>
    </row>
    <row r="63">
      <c r="A63" s="15" t="n">
        <v>46084</v>
      </c>
      <c r="B63" s="17" t="n">
        <v>8.300000000000001</v>
      </c>
      <c r="C63" s="17" t="n">
        <v>1.3</v>
      </c>
      <c r="D63" s="17" t="n">
        <v>4.3</v>
      </c>
      <c r="E63" s="14" t="n">
        <v>71.90000000000001</v>
      </c>
      <c r="F63" s="14" t="n">
        <v>51</v>
      </c>
      <c r="G63" s="17" t="n">
        <v>2.8</v>
      </c>
      <c r="H63" s="17" t="n">
        <v>5.9</v>
      </c>
      <c r="I63" s="17" t="n">
        <v>-0.6</v>
      </c>
      <c r="J63" s="17" t="n">
        <v>1014.5</v>
      </c>
      <c r="K63" s="18" t="n">
        <v>11.5</v>
      </c>
      <c r="L63" s="17" t="n">
        <v>2.1</v>
      </c>
      <c r="M63" s="17" t="n">
        <v>1.5</v>
      </c>
      <c r="N63" s="17" t="n">
        <v>0.9</v>
      </c>
    </row>
    <row r="64">
      <c r="A64" s="15" t="n">
        <v>46085</v>
      </c>
      <c r="B64" s="17" t="n">
        <v>13.1</v>
      </c>
      <c r="C64" s="17" t="n">
        <v>-3.2</v>
      </c>
      <c r="D64" s="17" t="n">
        <v>4.2</v>
      </c>
      <c r="E64" s="14" t="n">
        <v>65.09999999999999</v>
      </c>
      <c r="F64" s="14" t="n">
        <v>22</v>
      </c>
      <c r="G64" s="17" t="n">
        <v>1.1</v>
      </c>
      <c r="H64" s="17" t="n">
        <v>5</v>
      </c>
      <c r="I64" s="17" t="n">
        <v>-2.9</v>
      </c>
      <c r="J64" s="17" t="n">
        <v>1014.7</v>
      </c>
      <c r="K64" s="18" t="n">
        <v>18.24</v>
      </c>
      <c r="L64" s="17" t="n">
        <v>9.800000000000001</v>
      </c>
      <c r="M64" s="17" t="n">
        <v>2.4</v>
      </c>
      <c r="N64" s="17" t="n"/>
    </row>
    <row r="65">
      <c r="A65" s="15" t="n">
        <v>46086</v>
      </c>
      <c r="B65" s="17" t="n">
        <v>13.3</v>
      </c>
      <c r="C65" s="17" t="n">
        <v>-2.7</v>
      </c>
      <c r="D65" s="17" t="n">
        <v>5.2</v>
      </c>
      <c r="E65" s="14" t="n">
        <v>68.8</v>
      </c>
      <c r="F65" s="14" t="n">
        <v>32</v>
      </c>
      <c r="G65" s="17" t="n">
        <v>1.2</v>
      </c>
      <c r="H65" s="17" t="n">
        <v>5.7</v>
      </c>
      <c r="I65" s="17" t="n">
        <v>-1.2</v>
      </c>
      <c r="J65" s="17" t="n">
        <v>1012.6</v>
      </c>
      <c r="K65" s="18" t="n">
        <v>13.77</v>
      </c>
      <c r="L65" s="17" t="n">
        <v>5.3</v>
      </c>
      <c r="M65" s="17" t="n">
        <v>1.9</v>
      </c>
      <c r="N65" s="17" t="n">
        <v>13</v>
      </c>
    </row>
    <row r="66">
      <c r="A66" s="15" t="n">
        <v>46087</v>
      </c>
      <c r="B66" s="17" t="n">
        <v>5.7</v>
      </c>
      <c r="C66" s="17" t="n">
        <v>0.6</v>
      </c>
      <c r="D66" s="17" t="n">
        <v>2.6</v>
      </c>
      <c r="E66" s="14" t="n">
        <v>75.3</v>
      </c>
      <c r="F66" s="14" t="n">
        <v>62</v>
      </c>
      <c r="G66" s="17" t="n">
        <v>2.5</v>
      </c>
      <c r="H66" s="17" t="n">
        <v>5.6</v>
      </c>
      <c r="I66" s="17" t="n">
        <v>-1.4</v>
      </c>
      <c r="J66" s="17" t="n">
        <v>1010.6</v>
      </c>
      <c r="K66" s="18" t="n">
        <v>8.970000000000001</v>
      </c>
      <c r="L66" s="17" t="n">
        <v>2</v>
      </c>
      <c r="M66" s="17" t="n">
        <v>1.2</v>
      </c>
      <c r="N66" s="17" t="n">
        <v>2</v>
      </c>
    </row>
    <row r="67">
      <c r="A67" s="15" t="n">
        <v>46088</v>
      </c>
      <c r="B67" s="17" t="n">
        <v>6.3</v>
      </c>
      <c r="C67" s="17" t="n">
        <v>-3.5</v>
      </c>
      <c r="D67" s="17" t="n">
        <v>0.9</v>
      </c>
      <c r="E67" s="14" t="n">
        <v>56.5</v>
      </c>
      <c r="F67" s="14" t="n">
        <v>27</v>
      </c>
      <c r="G67" s="17" t="n">
        <v>2</v>
      </c>
      <c r="H67" s="17" t="n">
        <v>3.5</v>
      </c>
      <c r="I67" s="17" t="n">
        <v>-7.4</v>
      </c>
      <c r="J67" s="17" t="n">
        <v>1016.4</v>
      </c>
      <c r="K67" s="18" t="n">
        <v>19.1</v>
      </c>
      <c r="L67" s="17" t="n">
        <v>10.2</v>
      </c>
      <c r="M67" s="17" t="n">
        <v>2.2</v>
      </c>
      <c r="N67" s="17" t="n"/>
    </row>
    <row r="68">
      <c r="A68" s="15" t="n">
        <v>46089</v>
      </c>
      <c r="B68" s="17" t="n">
        <v>9.4</v>
      </c>
      <c r="C68" s="17" t="n">
        <v>-6.1</v>
      </c>
      <c r="D68" s="17" t="n">
        <v>0.8</v>
      </c>
      <c r="E68" s="14" t="n">
        <v>58.1</v>
      </c>
      <c r="F68" s="14" t="n">
        <v>17</v>
      </c>
      <c r="G68" s="17" t="n">
        <v>1.2</v>
      </c>
      <c r="H68" s="17" t="n">
        <v>3.3</v>
      </c>
      <c r="I68" s="17" t="n">
        <v>-8.300000000000001</v>
      </c>
      <c r="J68" s="17" t="n">
        <v>1017.7</v>
      </c>
      <c r="K68" s="18" t="n">
        <v>19.35</v>
      </c>
      <c r="L68" s="17" t="n">
        <v>10.2</v>
      </c>
      <c r="M68" s="17" t="n">
        <v>2.5</v>
      </c>
      <c r="N68" s="17" t="n"/>
    </row>
    <row r="69">
      <c r="A69" s="15" t="n">
        <v>46090</v>
      </c>
      <c r="B69" s="17" t="n">
        <v>8.5</v>
      </c>
      <c r="C69" s="17" t="n">
        <v>-2.1</v>
      </c>
      <c r="D69" s="17" t="n">
        <v>2.4</v>
      </c>
      <c r="E69" s="14" t="n">
        <v>65.8</v>
      </c>
      <c r="F69" s="14" t="n">
        <v>38</v>
      </c>
      <c r="G69" s="17" t="n">
        <v>1.2</v>
      </c>
      <c r="H69" s="17" t="n">
        <v>4.6</v>
      </c>
      <c r="I69" s="17" t="n">
        <v>-3.8</v>
      </c>
      <c r="J69" s="17" t="n">
        <v>1016.5</v>
      </c>
      <c r="K69" s="18" t="n">
        <v>15.27</v>
      </c>
      <c r="L69" s="17" t="n">
        <v>7.1</v>
      </c>
      <c r="M69" s="17" t="n">
        <v>1.8</v>
      </c>
      <c r="N69" s="17" t="n">
        <v>0</v>
      </c>
    </row>
    <row r="70">
      <c r="A70" s="15" t="n">
        <v>46091</v>
      </c>
      <c r="B70" s="17" t="n">
        <v>10.3</v>
      </c>
      <c r="C70" s="17" t="n">
        <v>-4.9</v>
      </c>
      <c r="D70" s="17" t="n">
        <v>2.3</v>
      </c>
      <c r="E70" s="14" t="n">
        <v>62</v>
      </c>
      <c r="F70" s="14" t="n">
        <v>26</v>
      </c>
      <c r="G70" s="17" t="n">
        <v>1.2</v>
      </c>
      <c r="H70" s="17" t="n">
        <v>4</v>
      </c>
      <c r="I70" s="17" t="n">
        <v>-5.7</v>
      </c>
      <c r="J70" s="17" t="n">
        <v>1016.3</v>
      </c>
      <c r="K70" s="18" t="n">
        <v>17.6</v>
      </c>
      <c r="L70" s="17" t="n">
        <v>9.1</v>
      </c>
      <c r="M70" s="17" t="n">
        <v>2.4</v>
      </c>
      <c r="N70" s="17" t="n"/>
    </row>
    <row r="71">
      <c r="A71" s="15" t="n">
        <v>46092</v>
      </c>
      <c r="B71" s="17" t="n">
        <v>12.1</v>
      </c>
      <c r="C71" s="17" t="n">
        <v>-4.5</v>
      </c>
      <c r="D71" s="17" t="n">
        <v>2.9</v>
      </c>
      <c r="E71" s="14" t="n">
        <v>56.4</v>
      </c>
      <c r="F71" s="14" t="n">
        <v>13</v>
      </c>
      <c r="G71" s="17" t="n">
        <v>0.9</v>
      </c>
      <c r="H71" s="17" t="n">
        <v>3.7</v>
      </c>
      <c r="I71" s="17" t="n">
        <v>-7.1</v>
      </c>
      <c r="J71" s="17" t="n">
        <v>1015.7</v>
      </c>
      <c r="K71" s="18" t="n">
        <v>17.16</v>
      </c>
      <c r="L71" s="17" t="n">
        <v>8.699999999999999</v>
      </c>
      <c r="M71" s="17" t="n">
        <v>2.3</v>
      </c>
      <c r="N71" s="17" t="n"/>
    </row>
    <row r="72">
      <c r="A72" s="15" t="n">
        <v>46093</v>
      </c>
      <c r="B72" s="17" t="n">
        <v>13</v>
      </c>
      <c r="C72" s="17" t="n">
        <v>-2.9</v>
      </c>
      <c r="D72" s="17" t="n">
        <v>4.3</v>
      </c>
      <c r="E72" s="14" t="n">
        <v>61.5</v>
      </c>
      <c r="F72" s="14" t="n">
        <v>26</v>
      </c>
      <c r="G72" s="17" t="n">
        <v>2</v>
      </c>
      <c r="H72" s="17" t="n">
        <v>4.8</v>
      </c>
      <c r="I72" s="17" t="n">
        <v>-3.5</v>
      </c>
      <c r="J72" s="17" t="n">
        <v>1018.1</v>
      </c>
      <c r="K72" s="18" t="n">
        <v>16.61</v>
      </c>
      <c r="L72" s="17" t="n">
        <v>7.4</v>
      </c>
      <c r="M72" s="17" t="n">
        <v>2.5</v>
      </c>
      <c r="N72" s="17" t="n"/>
    </row>
    <row r="73">
      <c r="A73" s="15" t="n">
        <v>46094</v>
      </c>
      <c r="B73" s="17" t="n">
        <v>10</v>
      </c>
      <c r="C73" s="17" t="n">
        <v>-1.9</v>
      </c>
      <c r="D73" s="17" t="n">
        <v>4.4</v>
      </c>
      <c r="E73" s="14" t="n">
        <v>56.9</v>
      </c>
      <c r="F73" s="14" t="n">
        <v>31</v>
      </c>
      <c r="G73" s="17" t="n">
        <v>1.9</v>
      </c>
      <c r="H73" s="17" t="n">
        <v>4.5</v>
      </c>
      <c r="I73" s="17" t="n">
        <v>-4.2</v>
      </c>
      <c r="J73" s="17" t="n">
        <v>1020.8</v>
      </c>
      <c r="K73" s="18" t="n">
        <v>20.34</v>
      </c>
      <c r="L73" s="17" t="n">
        <v>10.7</v>
      </c>
      <c r="M73" s="17" t="n">
        <v>2.8</v>
      </c>
      <c r="N73" s="17" t="n"/>
    </row>
    <row r="74">
      <c r="A74" s="15" t="n">
        <v>46095</v>
      </c>
      <c r="B74" s="17" t="n">
        <v>13</v>
      </c>
      <c r="C74" s="17" t="n">
        <v>0</v>
      </c>
      <c r="D74" s="17" t="n">
        <v>5.7</v>
      </c>
      <c r="E74" s="14" t="n">
        <v>57.4</v>
      </c>
      <c r="F74" s="14" t="n">
        <v>29</v>
      </c>
      <c r="G74" s="17" t="n">
        <v>1.1</v>
      </c>
      <c r="H74" s="17" t="n">
        <v>4.9</v>
      </c>
      <c r="I74" s="17" t="n">
        <v>-2.9</v>
      </c>
      <c r="J74" s="17" t="n">
        <v>1018.4</v>
      </c>
      <c r="K74" s="18" t="n">
        <v>12.96</v>
      </c>
      <c r="L74" s="17" t="n">
        <v>4.5</v>
      </c>
      <c r="M74" s="17" t="n">
        <v>1.9</v>
      </c>
      <c r="N74" s="17" t="n"/>
    </row>
    <row r="75">
      <c r="A75" s="15" t="n">
        <v>46096</v>
      </c>
      <c r="B75" s="17" t="n">
        <v>11.2</v>
      </c>
      <c r="C75" s="17" t="n">
        <v>-0.1</v>
      </c>
      <c r="D75" s="17" t="n">
        <v>5.1</v>
      </c>
      <c r="E75" s="14" t="n">
        <v>68</v>
      </c>
      <c r="F75" s="14" t="n">
        <v>44</v>
      </c>
      <c r="G75" s="17" t="n">
        <v>0.9</v>
      </c>
      <c r="H75" s="17" t="n">
        <v>5.8</v>
      </c>
      <c r="I75" s="17" t="n">
        <v>-0.7</v>
      </c>
      <c r="J75" s="17" t="n">
        <v>1015.4</v>
      </c>
      <c r="K75" s="18" t="n">
        <v>9.07</v>
      </c>
      <c r="L75" s="17" t="n">
        <v>2</v>
      </c>
      <c r="M75" s="17" t="n">
        <v>1.3</v>
      </c>
      <c r="N75" s="17" t="n"/>
    </row>
    <row r="76">
      <c r="A76" s="15" t="n">
        <v>46097</v>
      </c>
      <c r="B76" s="17" t="n">
        <v>14.9</v>
      </c>
      <c r="C76" s="17" t="n">
        <v>-2.1</v>
      </c>
      <c r="D76" s="17" t="n">
        <v>5.4</v>
      </c>
      <c r="E76" s="14" t="n">
        <v>65.3</v>
      </c>
      <c r="F76" s="14" t="n">
        <v>24</v>
      </c>
      <c r="G76" s="17" t="n">
        <v>0.9</v>
      </c>
      <c r="H76" s="17" t="n">
        <v>5.3</v>
      </c>
      <c r="I76" s="17" t="n">
        <v>-2.1</v>
      </c>
      <c r="J76" s="17" t="n">
        <v>1013.5</v>
      </c>
      <c r="K76" s="18" t="n">
        <v>17.11</v>
      </c>
      <c r="L76" s="17" t="n">
        <v>8.199999999999999</v>
      </c>
      <c r="M76" s="17" t="n">
        <v>2.3</v>
      </c>
      <c r="N76" s="17" t="n"/>
    </row>
    <row r="77">
      <c r="A77" s="15" t="n">
        <v>46098</v>
      </c>
      <c r="B77" s="17" t="n">
        <v>16.9</v>
      </c>
      <c r="C77" s="17" t="n">
        <v>-2.5</v>
      </c>
      <c r="D77" s="17" t="n">
        <v>6.6</v>
      </c>
      <c r="E77" s="14" t="n">
        <v>54.4</v>
      </c>
      <c r="F77" s="14" t="n">
        <v>16</v>
      </c>
      <c r="G77" s="17" t="n">
        <v>0.9</v>
      </c>
      <c r="H77" s="17" t="n">
        <v>4.6</v>
      </c>
      <c r="I77" s="17" t="n">
        <v>-4.2</v>
      </c>
      <c r="J77" s="17" t="n">
        <v>1011.3</v>
      </c>
      <c r="K77" s="18" t="n">
        <v>20.08</v>
      </c>
      <c r="L77" s="17" t="n">
        <v>10.4</v>
      </c>
      <c r="M77" s="17" t="n">
        <v>3.2</v>
      </c>
      <c r="N77" s="17" t="n"/>
    </row>
    <row r="78">
      <c r="A78" s="15" t="n">
        <v>46099</v>
      </c>
      <c r="B78" s="17" t="n">
        <v>8.9</v>
      </c>
      <c r="C78" s="17" t="n">
        <v>1.7</v>
      </c>
      <c r="D78" s="17" t="n">
        <v>4.9</v>
      </c>
      <c r="E78" s="14" t="n">
        <v>81.90000000000001</v>
      </c>
      <c r="F78" s="14" t="n">
        <v>62</v>
      </c>
      <c r="G78" s="17" t="n">
        <v>0.8</v>
      </c>
      <c r="H78" s="17" t="n">
        <v>7.1</v>
      </c>
      <c r="I78" s="17" t="n">
        <v>2</v>
      </c>
      <c r="J78" s="17" t="n">
        <v>1005.4</v>
      </c>
      <c r="K78" s="18" t="n">
        <v>6.01</v>
      </c>
      <c r="L78" s="17" t="n">
        <v>0.8</v>
      </c>
      <c r="M78" s="17" t="n">
        <v>0.8</v>
      </c>
      <c r="N78" s="17" t="n">
        <v>3.6</v>
      </c>
    </row>
    <row r="79">
      <c r="A79" s="15" t="n">
        <v>46100</v>
      </c>
      <c r="B79" s="17" t="n">
        <v>13.9</v>
      </c>
      <c r="C79" s="17" t="n">
        <v>-1.5</v>
      </c>
      <c r="D79" s="17" t="n">
        <v>5.4</v>
      </c>
      <c r="E79" s="14" t="n">
        <v>56.5</v>
      </c>
      <c r="F79" s="14" t="n">
        <v>14</v>
      </c>
      <c r="G79" s="17" t="n">
        <v>1.8</v>
      </c>
      <c r="H79" s="17" t="n">
        <v>4.3</v>
      </c>
      <c r="I79" s="17" t="n">
        <v>-5.2</v>
      </c>
      <c r="J79" s="17" t="n">
        <v>1007.7</v>
      </c>
      <c r="K79" s="18" t="n">
        <v>19.29</v>
      </c>
      <c r="L79" s="17" t="n">
        <v>8.199999999999999</v>
      </c>
      <c r="M79" s="17" t="n">
        <v>3.5</v>
      </c>
      <c r="N79" s="17" t="n"/>
    </row>
    <row r="80">
      <c r="A80" s="15" t="n">
        <v>46101</v>
      </c>
      <c r="B80" s="17" t="n">
        <v>14.9</v>
      </c>
      <c r="C80" s="17" t="n">
        <v>-2.4</v>
      </c>
      <c r="D80" s="17" t="n">
        <v>6</v>
      </c>
      <c r="E80" s="14" t="n">
        <v>57.3</v>
      </c>
      <c r="F80" s="14" t="n">
        <v>20</v>
      </c>
      <c r="G80" s="17" t="n">
        <v>1.7</v>
      </c>
      <c r="H80" s="17" t="n">
        <v>5</v>
      </c>
      <c r="I80" s="17" t="n">
        <v>-2.8</v>
      </c>
      <c r="J80" s="17" t="n">
        <v>1009.9</v>
      </c>
      <c r="K80" s="18" t="n">
        <v>19.11</v>
      </c>
      <c r="L80" s="17" t="n">
        <v>9.699999999999999</v>
      </c>
      <c r="M80" s="17" t="n">
        <v>3</v>
      </c>
      <c r="N80" s="17" t="n"/>
    </row>
    <row r="81">
      <c r="A81" s="15" t="n">
        <v>46102</v>
      </c>
      <c r="B81" s="17" t="n">
        <v>16.1</v>
      </c>
      <c r="C81" s="17" t="n">
        <v>-2.7</v>
      </c>
      <c r="D81" s="17" t="n">
        <v>6.6</v>
      </c>
      <c r="E81" s="14" t="n">
        <v>52.3</v>
      </c>
      <c r="F81" s="14" t="n">
        <v>15</v>
      </c>
      <c r="G81" s="17" t="n">
        <v>1.4</v>
      </c>
      <c r="H81" s="17" t="n">
        <v>4.3</v>
      </c>
      <c r="I81" s="17" t="n">
        <v>-5.1</v>
      </c>
      <c r="J81" s="17" t="n">
        <v>1013.3</v>
      </c>
      <c r="K81" s="18" t="n">
        <v>20.91</v>
      </c>
      <c r="L81" s="17" t="n">
        <v>10.8</v>
      </c>
      <c r="M81" s="17" t="n">
        <v>3.7</v>
      </c>
      <c r="N81" s="17" t="n"/>
    </row>
    <row r="82">
      <c r="A82" s="15" t="n">
        <v>46103</v>
      </c>
      <c r="B82" s="17" t="n">
        <v>19.1</v>
      </c>
      <c r="C82" s="17" t="n">
        <v>1.1</v>
      </c>
      <c r="D82" s="17" t="n">
        <v>8.699999999999999</v>
      </c>
      <c r="E82" s="14" t="n">
        <v>46.8</v>
      </c>
      <c r="F82" s="14" t="n">
        <v>12</v>
      </c>
      <c r="G82" s="17" t="n">
        <v>1.1</v>
      </c>
      <c r="H82" s="17" t="n">
        <v>4.5</v>
      </c>
      <c r="I82" s="17" t="n">
        <v>-4.3</v>
      </c>
      <c r="J82" s="17" t="n">
        <v>1009.6</v>
      </c>
      <c r="K82" s="18" t="n">
        <v>18.12</v>
      </c>
      <c r="L82" s="17" t="n">
        <v>7.8</v>
      </c>
      <c r="M82" s="17" t="n">
        <v>3.6</v>
      </c>
      <c r="N82" s="17" t="n"/>
    </row>
    <row r="83">
      <c r="A83" s="15" t="n">
        <v>46104</v>
      </c>
      <c r="B83" s="17" t="n">
        <v>18.2</v>
      </c>
      <c r="C83" s="17" t="n">
        <v>-0.4</v>
      </c>
      <c r="D83" s="17" t="n">
        <v>9.4</v>
      </c>
      <c r="E83" s="14" t="n">
        <v>49.6</v>
      </c>
      <c r="F83" s="14" t="n">
        <v>25</v>
      </c>
      <c r="G83" s="17" t="n">
        <v>1.7</v>
      </c>
      <c r="H83" s="17" t="n">
        <v>5.4</v>
      </c>
      <c r="I83" s="17" t="n">
        <v>-1.8</v>
      </c>
      <c r="J83" s="17" t="n">
        <v>1010.2</v>
      </c>
      <c r="K83" s="18" t="n">
        <v>20.55</v>
      </c>
      <c r="L83" s="17" t="n">
        <v>10.7</v>
      </c>
      <c r="M83" s="17" t="n">
        <v>3.8</v>
      </c>
      <c r="N83" s="17" t="n"/>
    </row>
    <row r="84">
      <c r="A84" s="15" t="n">
        <v>46105</v>
      </c>
      <c r="B84" s="17" t="n">
        <v>18.8</v>
      </c>
      <c r="C84" s="17" t="n">
        <v>1.1</v>
      </c>
      <c r="D84" s="17" t="n">
        <v>10.2</v>
      </c>
      <c r="E84" s="14" t="n">
        <v>50.8</v>
      </c>
      <c r="F84" s="14" t="n">
        <v>22</v>
      </c>
      <c r="G84" s="17" t="n">
        <v>1.2</v>
      </c>
      <c r="H84" s="17" t="n">
        <v>5.7</v>
      </c>
      <c r="I84" s="17" t="n">
        <v>-1</v>
      </c>
      <c r="J84" s="17" t="n">
        <v>1008.1</v>
      </c>
      <c r="K84" s="18" t="n">
        <v>17.85</v>
      </c>
      <c r="L84" s="17" t="n">
        <v>7</v>
      </c>
      <c r="M84" s="17" t="n">
        <v>3.2</v>
      </c>
      <c r="N84" s="17" t="n"/>
    </row>
    <row r="85">
      <c r="A85" s="15" t="n">
        <v>46106</v>
      </c>
      <c r="B85" s="17" t="n">
        <v>21.7</v>
      </c>
      <c r="C85" s="17" t="n">
        <v>4.2</v>
      </c>
      <c r="D85" s="17" t="n">
        <v>12.4</v>
      </c>
      <c r="E85" s="14" t="n">
        <v>47.4</v>
      </c>
      <c r="F85" s="14" t="n">
        <v>17</v>
      </c>
      <c r="G85" s="17" t="n">
        <v>1.2</v>
      </c>
      <c r="H85" s="17" t="n">
        <v>6.1</v>
      </c>
      <c r="I85" s="17" t="n">
        <v>-0.1</v>
      </c>
      <c r="J85" s="17" t="n">
        <v>1003.9</v>
      </c>
      <c r="K85" s="18" t="n">
        <v>21.29</v>
      </c>
      <c r="L85" s="17" t="n">
        <v>10.8</v>
      </c>
      <c r="M85" s="17" t="n">
        <v>4.1</v>
      </c>
      <c r="N85" s="17" t="n"/>
    </row>
    <row r="86">
      <c r="A86" s="15" t="n">
        <v>46107</v>
      </c>
      <c r="B86" s="17" t="n">
        <v>22.8</v>
      </c>
      <c r="C86" s="17" t="n">
        <v>2.9</v>
      </c>
      <c r="D86" s="17" t="n">
        <v>12.5</v>
      </c>
      <c r="E86" s="14" t="n">
        <v>52</v>
      </c>
      <c r="F86" s="14" t="n">
        <v>14</v>
      </c>
      <c r="G86" s="17" t="n">
        <v>1.1</v>
      </c>
      <c r="H86" s="17" t="n">
        <v>6.6</v>
      </c>
      <c r="I86" s="17" t="n">
        <v>0.9</v>
      </c>
      <c r="J86" s="17" t="n">
        <v>1004.3</v>
      </c>
      <c r="K86" s="18" t="n">
        <v>20.48</v>
      </c>
      <c r="L86" s="17" t="n">
        <v>10.4</v>
      </c>
      <c r="M86" s="17" t="n">
        <v>4</v>
      </c>
      <c r="N86" s="17" t="n"/>
    </row>
    <row r="87">
      <c r="A87" s="15" t="n">
        <v>46108</v>
      </c>
      <c r="B87" s="17" t="n">
        <v>20.5</v>
      </c>
      <c r="C87" s="17" t="n">
        <v>2.5</v>
      </c>
      <c r="D87" s="17" t="n">
        <v>11.7</v>
      </c>
      <c r="E87" s="14" t="n">
        <v>60.4</v>
      </c>
      <c r="F87" s="14" t="n">
        <v>37</v>
      </c>
      <c r="G87" s="17" t="n">
        <v>1.7</v>
      </c>
      <c r="H87" s="17" t="n">
        <v>7.9</v>
      </c>
      <c r="I87" s="17" t="n">
        <v>3.4</v>
      </c>
      <c r="J87" s="17" t="n">
        <v>1003.2</v>
      </c>
      <c r="K87" s="18" t="n">
        <v>18.87</v>
      </c>
      <c r="L87" s="17" t="n">
        <v>10.3</v>
      </c>
      <c r="M87" s="17" t="n">
        <v>3.5</v>
      </c>
      <c r="N87" s="17" t="n"/>
    </row>
    <row r="88">
      <c r="A88" s="15" t="n">
        <v>46109</v>
      </c>
      <c r="B88" s="17" t="n">
        <v>21.8</v>
      </c>
      <c r="C88" s="17" t="n">
        <v>2.8</v>
      </c>
      <c r="D88" s="17" t="n">
        <v>11.8</v>
      </c>
      <c r="E88" s="14" t="n">
        <v>55.5</v>
      </c>
      <c r="F88" s="14" t="n">
        <v>19</v>
      </c>
      <c r="G88" s="17" t="n">
        <v>1.1</v>
      </c>
      <c r="H88" s="17" t="n">
        <v>6.8</v>
      </c>
      <c r="I88" s="17" t="n">
        <v>1.3</v>
      </c>
      <c r="J88" s="17" t="n">
        <v>1005.3</v>
      </c>
      <c r="K88" s="18" t="n">
        <v>21.37</v>
      </c>
      <c r="L88" s="17" t="n">
        <v>10.8</v>
      </c>
      <c r="M88" s="17" t="n">
        <v>4</v>
      </c>
      <c r="N88" s="17" t="n"/>
    </row>
    <row r="89">
      <c r="A89" s="15" t="n">
        <v>46110</v>
      </c>
      <c r="B89" s="17" t="n">
        <v>21.8</v>
      </c>
      <c r="C89" s="17" t="n">
        <v>3.1</v>
      </c>
      <c r="D89" s="17" t="n">
        <v>11.8</v>
      </c>
      <c r="E89" s="14" t="n">
        <v>49.8</v>
      </c>
      <c r="F89" s="14" t="n">
        <v>16</v>
      </c>
      <c r="G89" s="17" t="n">
        <v>1.2</v>
      </c>
      <c r="H89" s="17" t="n">
        <v>5.9</v>
      </c>
      <c r="I89" s="17" t="n">
        <v>-0.6</v>
      </c>
      <c r="J89" s="17" t="n">
        <v>1006.2</v>
      </c>
      <c r="K89" s="18" t="n">
        <v>17.93</v>
      </c>
      <c r="L89" s="17" t="n">
        <v>7.2</v>
      </c>
      <c r="M89" s="17" t="n">
        <v>3.4</v>
      </c>
      <c r="N89" s="17" t="n"/>
    </row>
    <row r="90">
      <c r="A90" s="15" t="n">
        <v>46111</v>
      </c>
      <c r="B90" s="17" t="n">
        <v>20.9</v>
      </c>
      <c r="C90" s="17" t="n">
        <v>6.7</v>
      </c>
      <c r="D90" s="17" t="n">
        <v>13.5</v>
      </c>
      <c r="E90" s="14" t="n">
        <v>54.6</v>
      </c>
      <c r="F90" s="14" t="n">
        <v>21</v>
      </c>
      <c r="G90" s="17" t="n">
        <v>0.8</v>
      </c>
      <c r="H90" s="17" t="n">
        <v>8</v>
      </c>
      <c r="I90" s="17" t="n">
        <v>3.5</v>
      </c>
      <c r="J90" s="17" t="n">
        <v>1003.8</v>
      </c>
      <c r="K90" s="18" t="n">
        <v>11.09</v>
      </c>
      <c r="L90" s="17" t="n">
        <v>0.4</v>
      </c>
      <c r="M90" s="17" t="n">
        <v>2.1</v>
      </c>
      <c r="N90" s="17" t="n">
        <v>0.6</v>
      </c>
    </row>
    <row r="91">
      <c r="A91" s="15" t="n">
        <v>46112</v>
      </c>
      <c r="B91" s="17" t="n">
        <v>15.4</v>
      </c>
      <c r="C91" s="17" t="n">
        <v>7.9</v>
      </c>
      <c r="D91" s="17" t="n">
        <v>11.5</v>
      </c>
      <c r="E91" s="14" t="n">
        <v>76</v>
      </c>
      <c r="F91" s="14" t="n">
        <v>55</v>
      </c>
      <c r="G91" s="17" t="n">
        <v>2.1</v>
      </c>
      <c r="H91" s="17" t="n">
        <v>10.1</v>
      </c>
      <c r="I91" s="17" t="n">
        <v>7.2</v>
      </c>
      <c r="J91" s="17" t="n">
        <v>1001.9</v>
      </c>
      <c r="K91" s="18" t="n">
        <v>9.630000000000001</v>
      </c>
      <c r="L91" s="17" t="n">
        <v>1.3</v>
      </c>
      <c r="M91" s="17" t="n">
        <v>1.6</v>
      </c>
      <c r="N91" s="17" t="n">
        <v>8.1</v>
      </c>
    </row>
    <row r="92">
      <c r="A92" s="15" t="n">
        <v>46113</v>
      </c>
      <c r="B92" s="17" t="n">
        <v>17.7</v>
      </c>
      <c r="C92" s="17" t="n">
        <v>5.2</v>
      </c>
      <c r="D92" s="17" t="n">
        <v>10.1</v>
      </c>
      <c r="E92" s="14" t="n">
        <v>83.90000000000001</v>
      </c>
      <c r="F92" s="14" t="n">
        <v>53</v>
      </c>
      <c r="G92" s="17" t="n">
        <v>1</v>
      </c>
      <c r="H92" s="17" t="n">
        <v>10.3</v>
      </c>
      <c r="I92" s="17" t="n">
        <v>7.3</v>
      </c>
      <c r="J92" s="17" t="n">
        <v>1003.5</v>
      </c>
      <c r="K92" s="18" t="n">
        <v>10.47</v>
      </c>
      <c r="L92" s="17" t="n">
        <v>1.7</v>
      </c>
      <c r="M92" s="17" t="n">
        <v>1.6</v>
      </c>
      <c r="N92" s="17" t="n">
        <v>4.1</v>
      </c>
    </row>
    <row r="93">
      <c r="A93" s="15" t="n">
        <v>46114</v>
      </c>
      <c r="B93" s="17" t="n">
        <v>18.9</v>
      </c>
      <c r="C93" s="17" t="n">
        <v>4.8</v>
      </c>
      <c r="D93" s="17" t="n">
        <v>12</v>
      </c>
      <c r="E93" s="14" t="n">
        <v>57.1</v>
      </c>
      <c r="F93" s="14" t="n">
        <v>26</v>
      </c>
      <c r="G93" s="17" t="n">
        <v>1.9</v>
      </c>
      <c r="H93" s="17" t="n">
        <v>7.4</v>
      </c>
      <c r="I93" s="17" t="n">
        <v>2.2</v>
      </c>
      <c r="J93" s="17" t="n">
        <v>1004.7</v>
      </c>
      <c r="K93" s="18" t="n">
        <v>21.85</v>
      </c>
      <c r="L93" s="17" t="n">
        <v>11</v>
      </c>
      <c r="M93" s="17" t="n">
        <v>4.1</v>
      </c>
      <c r="N93" s="17" t="n"/>
    </row>
    <row r="94">
      <c r="A94" s="15" t="n">
        <v>46115</v>
      </c>
      <c r="B94" s="17" t="n">
        <v>22</v>
      </c>
      <c r="C94" s="17" t="n">
        <v>5.2</v>
      </c>
      <c r="D94" s="17" t="n">
        <v>14.1</v>
      </c>
      <c r="E94" s="14" t="n">
        <v>50.1</v>
      </c>
      <c r="F94" s="14" t="n">
        <v>28</v>
      </c>
      <c r="G94" s="17" t="n">
        <v>1.4</v>
      </c>
      <c r="H94" s="17" t="n">
        <v>7.6</v>
      </c>
      <c r="I94" s="17" t="n">
        <v>3</v>
      </c>
      <c r="J94" s="17" t="n">
        <v>1003.2</v>
      </c>
      <c r="K94" s="18" t="n">
        <v>19.23</v>
      </c>
      <c r="L94" s="17" t="n">
        <v>9.5</v>
      </c>
      <c r="M94" s="17" t="n">
        <v>3.7</v>
      </c>
      <c r="N94" s="17" t="n"/>
    </row>
    <row r="95">
      <c r="A95" s="15" t="n">
        <v>46116</v>
      </c>
      <c r="B95" s="17" t="n">
        <v>21.4</v>
      </c>
      <c r="C95" s="17" t="n">
        <v>10.3</v>
      </c>
      <c r="D95" s="17" t="n">
        <v>14.7</v>
      </c>
      <c r="E95" s="14" t="n">
        <v>69.3</v>
      </c>
      <c r="F95" s="14" t="n">
        <v>39</v>
      </c>
      <c r="G95" s="17" t="n">
        <v>1.7</v>
      </c>
      <c r="H95" s="17" t="n">
        <v>11.3</v>
      </c>
      <c r="I95" s="17" t="n">
        <v>8.699999999999999</v>
      </c>
      <c r="J95" s="17" t="n">
        <v>992</v>
      </c>
      <c r="K95" s="18" t="n">
        <v>15.75</v>
      </c>
      <c r="L95" s="17" t="n">
        <v>5.1</v>
      </c>
      <c r="M95" s="17" t="n">
        <v>2.9</v>
      </c>
      <c r="N95" s="17" t="n">
        <v>4.1</v>
      </c>
    </row>
    <row r="96">
      <c r="A96" s="15" t="n">
        <v>46117</v>
      </c>
      <c r="B96" s="17" t="n">
        <v>18.5</v>
      </c>
      <c r="C96" s="17" t="n">
        <v>8.5</v>
      </c>
      <c r="D96" s="17" t="n">
        <v>12.6</v>
      </c>
      <c r="E96" s="14" t="n">
        <v>60.8</v>
      </c>
      <c r="F96" s="14" t="n">
        <v>26</v>
      </c>
      <c r="G96" s="17" t="n">
        <v>2.3</v>
      </c>
      <c r="H96" s="17" t="n">
        <v>8.300000000000001</v>
      </c>
      <c r="I96" s="17" t="n">
        <v>4.2</v>
      </c>
      <c r="J96" s="17" t="n">
        <v>998.6</v>
      </c>
      <c r="K96" s="18" t="n">
        <v>20.24</v>
      </c>
      <c r="L96" s="17" t="n">
        <v>8.1</v>
      </c>
      <c r="M96" s="17" t="n">
        <v>3.5</v>
      </c>
      <c r="N96" s="17" t="n">
        <v>3.6</v>
      </c>
    </row>
    <row r="97">
      <c r="A97" s="15" t="n">
        <v>46118</v>
      </c>
      <c r="B97" s="17" t="n">
        <v>12.4</v>
      </c>
      <c r="C97" s="17" t="n">
        <v>3.9</v>
      </c>
      <c r="D97" s="17" t="n">
        <v>9</v>
      </c>
      <c r="E97" s="14" t="n">
        <v>65.3</v>
      </c>
      <c r="F97" s="14" t="n">
        <v>17</v>
      </c>
      <c r="G97" s="17" t="n">
        <v>1.9</v>
      </c>
      <c r="H97" s="17" t="n">
        <v>7.6</v>
      </c>
      <c r="I97" s="17" t="n">
        <v>1.7</v>
      </c>
      <c r="J97" s="17" t="n">
        <v>1001.1</v>
      </c>
      <c r="K97" s="18" t="n">
        <v>7.04</v>
      </c>
      <c r="L97" s="17" t="n">
        <v>2.1</v>
      </c>
      <c r="M97" s="17" t="n">
        <v>1.7</v>
      </c>
      <c r="N97" s="17" t="n">
        <v>4.3</v>
      </c>
    </row>
    <row r="98">
      <c r="A98" s="15" t="n">
        <v>46119</v>
      </c>
      <c r="B98" s="17" t="n">
        <v>15.2</v>
      </c>
      <c r="C98" s="17" t="n">
        <v>-0.2</v>
      </c>
      <c r="D98" s="17" t="n">
        <v>8.300000000000001</v>
      </c>
      <c r="E98" s="14" t="n">
        <v>36.5</v>
      </c>
      <c r="F98" s="14" t="n">
        <v>13</v>
      </c>
      <c r="G98" s="17" t="n">
        <v>2.4</v>
      </c>
      <c r="H98" s="17" t="n">
        <v>3.6</v>
      </c>
      <c r="I98" s="17" t="n">
        <v>-7.8</v>
      </c>
      <c r="J98" s="17" t="n">
        <v>1005.5</v>
      </c>
      <c r="K98" s="18" t="n">
        <v>25.1</v>
      </c>
      <c r="L98" s="17" t="n">
        <v>11.3</v>
      </c>
      <c r="M98" s="17" t="n">
        <v>5</v>
      </c>
      <c r="N98" s="17" t="n"/>
    </row>
    <row r="99">
      <c r="A99" s="15" t="n">
        <v>46120</v>
      </c>
      <c r="B99" s="17" t="n">
        <v>17.7</v>
      </c>
      <c r="C99" s="17" t="n">
        <v>-0.5</v>
      </c>
      <c r="D99" s="17" t="n">
        <v>9.1</v>
      </c>
      <c r="E99" s="14" t="n">
        <v>55.1</v>
      </c>
      <c r="F99" s="14" t="n">
        <v>23</v>
      </c>
      <c r="G99" s="17" t="n">
        <v>1.6</v>
      </c>
      <c r="H99" s="17" t="n">
        <v>5.7</v>
      </c>
      <c r="I99" s="17" t="n">
        <v>-0.9</v>
      </c>
      <c r="J99" s="17" t="n">
        <v>1008.2</v>
      </c>
      <c r="K99" s="18" t="n">
        <v>24.35</v>
      </c>
      <c r="L99" s="17" t="n">
        <v>11.3</v>
      </c>
      <c r="M99" s="17" t="n">
        <v>4.1</v>
      </c>
      <c r="N99" s="17" t="n"/>
    </row>
    <row r="100">
      <c r="A100" s="15" t="n">
        <v>46121</v>
      </c>
      <c r="B100" s="17" t="n">
        <v>11.7</v>
      </c>
      <c r="C100" s="17" t="n">
        <v>4.3</v>
      </c>
      <c r="D100" s="17" t="n">
        <v>8.199999999999999</v>
      </c>
      <c r="E100" s="14" t="n">
        <v>84.3</v>
      </c>
      <c r="F100" s="14" t="n">
        <v>56</v>
      </c>
      <c r="G100" s="17" t="n">
        <v>1.3</v>
      </c>
      <c r="H100" s="17" t="n">
        <v>9.199999999999999</v>
      </c>
      <c r="I100" s="17" t="n">
        <v>5.5</v>
      </c>
      <c r="J100" s="17" t="n">
        <v>997.1</v>
      </c>
      <c r="K100" s="18" t="n">
        <v>4.23</v>
      </c>
      <c r="L100" s="17" t="n">
        <v>0</v>
      </c>
      <c r="M100" s="17" t="n">
        <v>0.7</v>
      </c>
      <c r="N100" s="17" t="n">
        <v>20.4</v>
      </c>
    </row>
    <row r="101">
      <c r="A101" s="15" t="n">
        <v>46122</v>
      </c>
      <c r="B101" s="17" t="n">
        <v>12</v>
      </c>
      <c r="C101" s="17" t="n">
        <v>9.699999999999999</v>
      </c>
      <c r="D101" s="17" t="n">
        <v>10.5</v>
      </c>
      <c r="E101" s="14" t="n">
        <v>91.40000000000001</v>
      </c>
      <c r="F101" s="14" t="n">
        <v>81</v>
      </c>
      <c r="G101" s="17" t="n">
        <v>1.8</v>
      </c>
      <c r="H101" s="17" t="n">
        <v>11.5</v>
      </c>
      <c r="I101" s="17" t="n">
        <v>9</v>
      </c>
      <c r="J101" s="17" t="n">
        <v>992</v>
      </c>
      <c r="K101" s="18" t="n">
        <v>1.38</v>
      </c>
      <c r="L101" s="17" t="n">
        <v>0</v>
      </c>
      <c r="M101" s="17" t="n">
        <v>0.6</v>
      </c>
      <c r="N101" s="17" t="n">
        <v>7.7</v>
      </c>
    </row>
    <row r="102">
      <c r="A102" s="15" t="n">
        <v>46123</v>
      </c>
      <c r="B102" s="17" t="n">
        <v>18.2</v>
      </c>
      <c r="C102" s="17" t="n">
        <v>7</v>
      </c>
      <c r="D102" s="17" t="n">
        <v>12.2</v>
      </c>
      <c r="E102" s="14" t="n">
        <v>65.59999999999999</v>
      </c>
      <c r="F102" s="14" t="n">
        <v>30</v>
      </c>
      <c r="G102" s="17" t="n">
        <v>2.6</v>
      </c>
      <c r="H102" s="17" t="n">
        <v>8.9</v>
      </c>
      <c r="I102" s="17" t="n">
        <v>5.1</v>
      </c>
      <c r="J102" s="17" t="n">
        <v>1001.6</v>
      </c>
      <c r="K102" s="18" t="n">
        <v>20.97</v>
      </c>
      <c r="L102" s="17" t="n">
        <v>8.300000000000001</v>
      </c>
      <c r="M102" s="17" t="n">
        <v>3.7</v>
      </c>
      <c r="N102" s="17" t="n"/>
    </row>
    <row r="103">
      <c r="A103" s="15" t="n">
        <v>46124</v>
      </c>
      <c r="B103" s="17" t="n">
        <v>25.8</v>
      </c>
      <c r="C103" s="17" t="n">
        <v>3</v>
      </c>
      <c r="D103" s="17" t="n">
        <v>13.9</v>
      </c>
      <c r="E103" s="14" t="n">
        <v>55.5</v>
      </c>
      <c r="F103" s="14" t="n">
        <v>14</v>
      </c>
      <c r="G103" s="17" t="n">
        <v>1.1</v>
      </c>
      <c r="H103" s="17" t="n">
        <v>7.5</v>
      </c>
      <c r="I103" s="17" t="n">
        <v>2.8</v>
      </c>
      <c r="J103" s="17" t="n">
        <v>1005.5</v>
      </c>
      <c r="K103" s="18" t="n">
        <v>24.94</v>
      </c>
      <c r="L103" s="17" t="n">
        <v>11.3</v>
      </c>
      <c r="M103" s="17" t="n">
        <v>4.9</v>
      </c>
      <c r="N103" s="17" t="n"/>
    </row>
    <row r="104">
      <c r="A104" s="15" t="n">
        <v>46125</v>
      </c>
      <c r="B104" s="17" t="n">
        <v>27.7</v>
      </c>
      <c r="C104" s="17" t="n">
        <v>5.7</v>
      </c>
      <c r="D104" s="17" t="n">
        <v>16.9</v>
      </c>
      <c r="E104" s="14" t="n">
        <v>46</v>
      </c>
      <c r="F104" s="14" t="n">
        <v>16</v>
      </c>
      <c r="G104" s="17" t="n">
        <v>1.5</v>
      </c>
      <c r="H104" s="17" t="n">
        <v>7.5</v>
      </c>
      <c r="I104" s="17" t="n">
        <v>2.8</v>
      </c>
      <c r="J104" s="17" t="n">
        <v>1005.5</v>
      </c>
      <c r="K104" s="18" t="n">
        <v>23.8</v>
      </c>
      <c r="L104" s="17" t="n">
        <v>11.2</v>
      </c>
      <c r="M104" s="17" t="n">
        <v>5.5</v>
      </c>
      <c r="N104" s="17" t="n"/>
    </row>
    <row r="105">
      <c r="A105" s="15" t="n">
        <v>46126</v>
      </c>
      <c r="B105" s="17" t="n">
        <v>26.8</v>
      </c>
      <c r="C105" s="17" t="n">
        <v>9.199999999999999</v>
      </c>
      <c r="D105" s="17" t="n">
        <v>17.8</v>
      </c>
      <c r="E105" s="14" t="n">
        <v>46.3</v>
      </c>
      <c r="F105" s="14" t="n">
        <v>21</v>
      </c>
      <c r="G105" s="17" t="n">
        <v>2</v>
      </c>
      <c r="H105" s="17" t="n">
        <v>8.5</v>
      </c>
      <c r="I105" s="17" t="n">
        <v>4.6</v>
      </c>
      <c r="J105" s="17" t="n">
        <v>1003.2</v>
      </c>
      <c r="K105" s="18" t="n">
        <v>21.77</v>
      </c>
      <c r="L105" s="17" t="n">
        <v>11.4</v>
      </c>
      <c r="M105" s="17" t="n">
        <v>5</v>
      </c>
      <c r="N105" s="17" t="n"/>
    </row>
    <row r="106">
      <c r="A106" s="15" t="n">
        <v>46127</v>
      </c>
      <c r="B106" s="17" t="n">
        <v>27.9</v>
      </c>
      <c r="C106" s="17" t="n">
        <v>9.4</v>
      </c>
      <c r="D106" s="17" t="n">
        <v>17.7</v>
      </c>
      <c r="E106" s="14" t="n">
        <v>52.9</v>
      </c>
      <c r="F106" s="14" t="n">
        <v>18</v>
      </c>
      <c r="G106" s="17" t="n">
        <v>2.3</v>
      </c>
      <c r="H106" s="17" t="n">
        <v>9.6</v>
      </c>
      <c r="I106" s="17" t="n">
        <v>6.2</v>
      </c>
      <c r="J106" s="17" t="n">
        <v>1003.2</v>
      </c>
      <c r="K106" s="18" t="n">
        <v>24.36</v>
      </c>
      <c r="L106" s="17" t="n">
        <v>11.2</v>
      </c>
      <c r="M106" s="17" t="n">
        <v>5.5</v>
      </c>
      <c r="N106" s="17" t="n"/>
    </row>
    <row r="107">
      <c r="A107" s="15" t="n">
        <v>46128</v>
      </c>
      <c r="B107" s="17" t="n">
        <v>27.3</v>
      </c>
      <c r="C107" s="17" t="n">
        <v>7.3</v>
      </c>
      <c r="D107" s="17" t="n">
        <v>17</v>
      </c>
      <c r="E107" s="14" t="n">
        <v>46.4</v>
      </c>
      <c r="F107" s="14" t="n">
        <v>12</v>
      </c>
      <c r="G107" s="17" t="n">
        <v>1.4</v>
      </c>
      <c r="H107" s="17" t="n">
        <v>7.6</v>
      </c>
      <c r="I107" s="17" t="n">
        <v>2.8</v>
      </c>
      <c r="J107" s="17" t="n">
        <v>1008.2</v>
      </c>
      <c r="K107" s="18" t="n">
        <v>24.81</v>
      </c>
      <c r="L107" s="17" t="n">
        <v>11.4</v>
      </c>
      <c r="M107" s="17" t="n">
        <v>5</v>
      </c>
      <c r="N107" s="17" t="n"/>
    </row>
    <row r="108">
      <c r="A108" s="15" t="n">
        <v>46129</v>
      </c>
      <c r="B108" s="17" t="n">
        <v>21.9</v>
      </c>
      <c r="C108" s="17" t="n">
        <v>10.5</v>
      </c>
      <c r="D108" s="17" t="n">
        <v>16</v>
      </c>
      <c r="E108" s="14" t="n">
        <v>52.6</v>
      </c>
      <c r="F108" s="14" t="n">
        <v>27</v>
      </c>
      <c r="G108" s="17" t="n">
        <v>1.7</v>
      </c>
      <c r="H108" s="17" t="n">
        <v>9</v>
      </c>
      <c r="I108" s="17" t="n">
        <v>5.3</v>
      </c>
      <c r="J108" s="17" t="n">
        <v>1004.6</v>
      </c>
      <c r="K108" s="18" t="n">
        <v>15.39</v>
      </c>
      <c r="L108" s="17" t="n">
        <v>3.6</v>
      </c>
      <c r="M108" s="17" t="n">
        <v>3.4</v>
      </c>
      <c r="N108" s="17" t="n"/>
    </row>
    <row r="109">
      <c r="A109" s="15" t="n">
        <v>46130</v>
      </c>
      <c r="B109" s="17" t="n">
        <v>28.4</v>
      </c>
      <c r="C109" s="17" t="n">
        <v>6.6</v>
      </c>
      <c r="D109" s="17" t="n">
        <v>17.3</v>
      </c>
      <c r="E109" s="14" t="n">
        <v>53.8</v>
      </c>
      <c r="F109" s="14" t="n">
        <v>19</v>
      </c>
      <c r="G109" s="17" t="n">
        <v>1</v>
      </c>
      <c r="H109" s="17" t="n">
        <v>9.1</v>
      </c>
      <c r="I109" s="17" t="n">
        <v>5.5</v>
      </c>
      <c r="J109" s="17" t="n">
        <v>1005.2</v>
      </c>
      <c r="K109" s="18" t="n">
        <v>24.92</v>
      </c>
      <c r="L109" s="17" t="n">
        <v>11.4</v>
      </c>
      <c r="M109" s="17" t="n">
        <v>5</v>
      </c>
      <c r="N109" s="17" t="n"/>
    </row>
    <row r="110">
      <c r="A110" s="15" t="n">
        <v>46131</v>
      </c>
      <c r="B110" s="17" t="n">
        <v>30.3</v>
      </c>
      <c r="C110" s="17" t="n">
        <v>10.4</v>
      </c>
      <c r="D110" s="17" t="n">
        <v>20.2</v>
      </c>
      <c r="E110" s="14" t="n">
        <v>47.4</v>
      </c>
      <c r="F110" s="14" t="n">
        <v>14</v>
      </c>
      <c r="G110" s="17" t="n">
        <v>1.3</v>
      </c>
      <c r="H110" s="17" t="n">
        <v>9.699999999999999</v>
      </c>
      <c r="I110" s="17" t="n">
        <v>6.3</v>
      </c>
      <c r="J110" s="17" t="n">
        <v>1002.4</v>
      </c>
      <c r="K110" s="18" t="n">
        <v>24.85</v>
      </c>
      <c r="L110" s="17" t="n">
        <v>10.9</v>
      </c>
      <c r="M110" s="17" t="n">
        <v>5.8</v>
      </c>
      <c r="N110" s="17" t="n"/>
    </row>
    <row r="111">
      <c r="A111" s="15" t="n">
        <v>46132</v>
      </c>
      <c r="B111" s="17" t="n">
        <v>19.1</v>
      </c>
      <c r="C111" s="17" t="n">
        <v>5.7</v>
      </c>
      <c r="D111" s="17" t="n">
        <v>12.7</v>
      </c>
      <c r="E111" s="14" t="n">
        <v>68</v>
      </c>
      <c r="F111" s="14" t="n">
        <v>33</v>
      </c>
      <c r="G111" s="17" t="n">
        <v>2</v>
      </c>
      <c r="H111" s="17" t="n">
        <v>10.1</v>
      </c>
      <c r="I111" s="17" t="n">
        <v>6.5</v>
      </c>
      <c r="J111" s="17" t="n">
        <v>1001.3</v>
      </c>
      <c r="K111" s="18" t="n">
        <v>7.79</v>
      </c>
      <c r="L111" s="17" t="n">
        <v>2</v>
      </c>
      <c r="M111" s="17" t="n">
        <v>1.7</v>
      </c>
      <c r="N111" s="17" t="n">
        <v>2</v>
      </c>
    </row>
    <row r="112">
      <c r="A112" s="15" t="n">
        <v>46133</v>
      </c>
      <c r="B112" s="17" t="n">
        <v>18.3</v>
      </c>
      <c r="C112" s="17" t="n">
        <v>1.3</v>
      </c>
      <c r="D112" s="17" t="n">
        <v>11</v>
      </c>
      <c r="E112" s="14" t="n">
        <v>51.5</v>
      </c>
      <c r="F112" s="14" t="n">
        <v>27</v>
      </c>
      <c r="G112" s="17" t="n">
        <v>2</v>
      </c>
      <c r="H112" s="17" t="n">
        <v>6.2</v>
      </c>
      <c r="I112" s="17" t="n">
        <v>0.1</v>
      </c>
      <c r="J112" s="17" t="n">
        <v>1007.7</v>
      </c>
      <c r="K112" s="18" t="n">
        <v>21.87</v>
      </c>
      <c r="L112" s="17" t="n">
        <v>7</v>
      </c>
      <c r="M112" s="17" t="n">
        <v>3.9</v>
      </c>
      <c r="N112" s="17" t="n"/>
    </row>
    <row r="113">
      <c r="A113" s="15" t="n">
        <v>46134</v>
      </c>
      <c r="B113" s="17" t="n">
        <v>20.3</v>
      </c>
      <c r="C113" s="17" t="n">
        <v>6</v>
      </c>
      <c r="D113" s="17" t="n">
        <v>12.3</v>
      </c>
      <c r="E113" s="14" t="n">
        <v>54.8</v>
      </c>
      <c r="F113" s="14" t="n">
        <v>25</v>
      </c>
      <c r="G113" s="17" t="n">
        <v>1.3</v>
      </c>
      <c r="H113" s="17" t="n">
        <v>7.2</v>
      </c>
      <c r="I113" s="17" t="n">
        <v>2.2</v>
      </c>
      <c r="J113" s="17" t="n">
        <v>1004.5</v>
      </c>
      <c r="K113" s="18" t="n">
        <v>17.2</v>
      </c>
      <c r="L113" s="17" t="n">
        <v>5.7</v>
      </c>
      <c r="M113" s="17" t="n">
        <v>3.7</v>
      </c>
      <c r="N113" s="17" t="n"/>
    </row>
    <row r="114">
      <c r="A114" s="15" t="n">
        <v>46135</v>
      </c>
      <c r="B114" s="17" t="n">
        <v>20.5</v>
      </c>
      <c r="C114" s="17" t="n">
        <v>6.5</v>
      </c>
      <c r="D114" s="17" t="n">
        <v>14</v>
      </c>
      <c r="E114" s="14" t="n">
        <v>43.1</v>
      </c>
      <c r="F114" s="14" t="n">
        <v>16</v>
      </c>
      <c r="G114" s="17" t="n">
        <v>2.6</v>
      </c>
      <c r="H114" s="17" t="n">
        <v>5.9</v>
      </c>
      <c r="I114" s="17" t="n">
        <v>-0.9</v>
      </c>
      <c r="J114" s="17" t="n">
        <v>1002.8</v>
      </c>
      <c r="K114" s="18" t="n">
        <v>24.42</v>
      </c>
      <c r="L114" s="17" t="n">
        <v>9.199999999999999</v>
      </c>
      <c r="M114" s="17" t="n">
        <v>5.7</v>
      </c>
      <c r="N114" s="17" t="n"/>
    </row>
    <row r="115">
      <c r="A115" s="15" t="n">
        <v>46136</v>
      </c>
      <c r="B115" s="17" t="n">
        <v>26.4</v>
      </c>
      <c r="C115" s="17" t="n">
        <v>3</v>
      </c>
      <c r="D115" s="17" t="n">
        <v>14.4</v>
      </c>
      <c r="E115" s="14" t="n">
        <v>44.6</v>
      </c>
      <c r="F115" s="14" t="n">
        <v>5</v>
      </c>
      <c r="G115" s="17" t="n">
        <v>1.3</v>
      </c>
      <c r="H115" s="17" t="n">
        <v>5.8</v>
      </c>
      <c r="I115" s="17" t="n">
        <v>-1.4</v>
      </c>
      <c r="J115" s="17" t="n">
        <v>1006.3</v>
      </c>
      <c r="K115" s="18" t="n">
        <v>27.15</v>
      </c>
      <c r="L115" s="17" t="n">
        <v>12.2</v>
      </c>
      <c r="M115" s="17" t="n">
        <v>6.2</v>
      </c>
      <c r="N115" s="17" t="n"/>
    </row>
    <row r="116">
      <c r="A116" s="15" t="n">
        <v>46137</v>
      </c>
      <c r="B116" s="17" t="n">
        <v>26.5</v>
      </c>
      <c r="C116" s="17" t="n">
        <v>5.1</v>
      </c>
      <c r="D116" s="17" t="n">
        <v>15.8</v>
      </c>
      <c r="E116" s="14" t="n">
        <v>46.5</v>
      </c>
      <c r="F116" s="14" t="n">
        <v>12</v>
      </c>
      <c r="G116" s="17" t="n">
        <v>1.4</v>
      </c>
      <c r="H116" s="17" t="n">
        <v>7</v>
      </c>
      <c r="I116" s="17" t="n">
        <v>1.7</v>
      </c>
      <c r="J116" s="17" t="n">
        <v>1008.2</v>
      </c>
      <c r="K116" s="18" t="n">
        <v>26.03</v>
      </c>
      <c r="L116" s="17" t="n">
        <v>12.1</v>
      </c>
      <c r="M116" s="17" t="n">
        <v>6</v>
      </c>
      <c r="N116" s="17" t="n"/>
    </row>
    <row r="117">
      <c r="A117" s="15" t="n">
        <v>46138</v>
      </c>
      <c r="B117" s="17" t="n">
        <v>26.2</v>
      </c>
      <c r="C117" s="17" t="n">
        <v>5.1</v>
      </c>
      <c r="D117" s="17" t="n">
        <v>15.8</v>
      </c>
      <c r="E117" s="14" t="n">
        <v>45.6</v>
      </c>
      <c r="F117" s="14" t="n">
        <v>15</v>
      </c>
      <c r="G117" s="17" t="n">
        <v>1.5</v>
      </c>
      <c r="H117" s="17" t="n">
        <v>6.9</v>
      </c>
      <c r="I117" s="17" t="n">
        <v>1.5</v>
      </c>
      <c r="J117" s="17" t="n">
        <v>1003.1</v>
      </c>
      <c r="K117" s="18" t="n">
        <v>26.13</v>
      </c>
      <c r="L117" s="17" t="n">
        <v>12.2</v>
      </c>
      <c r="M117" s="17" t="n">
        <v>5.8</v>
      </c>
      <c r="N117" s="17" t="n"/>
    </row>
    <row r="118">
      <c r="A118" s="15" t="n">
        <v>46139</v>
      </c>
      <c r="B118" s="17" t="n">
        <v>24.2</v>
      </c>
      <c r="C118" s="17" t="n">
        <v>8.4</v>
      </c>
      <c r="D118" s="17" t="n">
        <v>15.2</v>
      </c>
      <c r="E118" s="14" t="n">
        <v>58.8</v>
      </c>
      <c r="F118" s="14" t="n">
        <v>15</v>
      </c>
      <c r="G118" s="17" t="n">
        <v>1.6</v>
      </c>
      <c r="H118" s="17" t="n">
        <v>9.300000000000001</v>
      </c>
      <c r="I118" s="17" t="n">
        <v>5.5</v>
      </c>
      <c r="J118" s="17" t="n">
        <v>1001.7</v>
      </c>
      <c r="K118" s="18" t="n">
        <v>18.7</v>
      </c>
      <c r="L118" s="17" t="n">
        <v>5.6</v>
      </c>
      <c r="M118" s="17" t="n">
        <v>3.9</v>
      </c>
      <c r="N118" s="17" t="n">
        <v>1.7</v>
      </c>
    </row>
    <row r="119">
      <c r="A119" s="15" t="n">
        <v>46140</v>
      </c>
      <c r="B119" s="17" t="n">
        <v>15</v>
      </c>
      <c r="C119" s="17" t="n">
        <v>8.5</v>
      </c>
      <c r="D119" s="17" t="n">
        <v>12</v>
      </c>
      <c r="E119" s="14" t="n">
        <v>78</v>
      </c>
      <c r="F119" s="14" t="n">
        <v>63</v>
      </c>
      <c r="G119" s="17" t="n">
        <v>1.8</v>
      </c>
      <c r="H119" s="17" t="n">
        <v>10.9</v>
      </c>
      <c r="I119" s="17" t="n">
        <v>8.1</v>
      </c>
      <c r="J119" s="17" t="n">
        <v>1003.7</v>
      </c>
      <c r="K119" s="18" t="n">
        <v>7.72</v>
      </c>
      <c r="L119" s="17" t="n">
        <v>0.3</v>
      </c>
      <c r="M119" s="17" t="n">
        <v>1.5</v>
      </c>
      <c r="N119" s="17" t="n">
        <v>0</v>
      </c>
    </row>
    <row r="120">
      <c r="A120" s="15" t="n">
        <v>46141</v>
      </c>
      <c r="B120" s="17" t="n">
        <v>21.6</v>
      </c>
      <c r="C120" s="17" t="n">
        <v>4.8</v>
      </c>
      <c r="D120" s="17" t="n">
        <v>13</v>
      </c>
      <c r="E120" s="14" t="n">
        <v>62.1</v>
      </c>
      <c r="F120" s="14" t="n">
        <v>26</v>
      </c>
      <c r="G120" s="17" t="n">
        <v>1.2</v>
      </c>
      <c r="H120" s="17" t="n">
        <v>8.5</v>
      </c>
      <c r="I120" s="17" t="n">
        <v>4.6</v>
      </c>
      <c r="J120" s="17" t="n">
        <v>1008.2</v>
      </c>
      <c r="K120" s="18" t="n">
        <v>25.54</v>
      </c>
      <c r="L120" s="17" t="n">
        <v>9.699999999999999</v>
      </c>
      <c r="M120" s="17" t="n">
        <v>4</v>
      </c>
      <c r="N120" s="17" t="n"/>
    </row>
    <row r="121">
      <c r="A121" s="15" t="n">
        <v>46142</v>
      </c>
      <c r="B121" s="17" t="n">
        <v>24.4</v>
      </c>
      <c r="C121" s="17" t="n">
        <v>8</v>
      </c>
      <c r="D121" s="17" t="n">
        <v>16.7</v>
      </c>
      <c r="E121" s="14" t="n">
        <v>48</v>
      </c>
      <c r="F121" s="14" t="n">
        <v>20</v>
      </c>
      <c r="G121" s="17" t="n">
        <v>1.5</v>
      </c>
      <c r="H121" s="17" t="n">
        <v>8.1</v>
      </c>
      <c r="I121" s="17" t="n">
        <v>3.8</v>
      </c>
      <c r="J121" s="17" t="n">
        <v>1003.7</v>
      </c>
      <c r="K121" s="18" t="n">
        <v>24.73</v>
      </c>
      <c r="L121" s="17" t="n">
        <v>8.9</v>
      </c>
      <c r="M121" s="17" t="n">
        <v>4.8</v>
      </c>
      <c r="N121" s="17" t="n">
        <v>0</v>
      </c>
    </row>
    <row r="122">
      <c r="A122" s="15" t="n">
        <v>46143</v>
      </c>
      <c r="B122" s="17" t="n">
        <v>27.1</v>
      </c>
      <c r="C122" s="17" t="n">
        <v>12.8</v>
      </c>
      <c r="D122" s="17" t="n">
        <v>19.1</v>
      </c>
      <c r="E122" s="14" t="n">
        <v>39.4</v>
      </c>
      <c r="F122" s="14" t="n">
        <v>21</v>
      </c>
      <c r="G122" s="17" t="n">
        <v>2.1</v>
      </c>
      <c r="H122" s="17" t="n">
        <v>8.199999999999999</v>
      </c>
      <c r="I122" s="17" t="n">
        <v>4.1</v>
      </c>
      <c r="J122" s="17" t="n">
        <v>997.5</v>
      </c>
      <c r="K122" s="18" t="n">
        <v>24.12</v>
      </c>
      <c r="L122" s="17" t="n">
        <v>9.199999999999999</v>
      </c>
      <c r="M122" s="17" t="n">
        <v>5.9</v>
      </c>
      <c r="N122" s="17" t="n">
        <v>0</v>
      </c>
    </row>
    <row r="123">
      <c r="A123" s="15" t="n">
        <v>46144</v>
      </c>
      <c r="B123" s="17" t="n">
        <v>23</v>
      </c>
      <c r="C123" s="17" t="n">
        <v>9.699999999999999</v>
      </c>
      <c r="D123" s="17" t="n">
        <v>17.3</v>
      </c>
      <c r="E123" s="14" t="n">
        <v>61.6</v>
      </c>
      <c r="F123" s="14" t="n">
        <v>42</v>
      </c>
      <c r="G123" s="17" t="n">
        <v>1.7</v>
      </c>
      <c r="H123" s="17" t="n">
        <v>11.9</v>
      </c>
      <c r="I123" s="17" t="n">
        <v>9.4</v>
      </c>
      <c r="J123" s="17" t="n">
        <v>1001</v>
      </c>
      <c r="K123" s="18" t="n">
        <v>17.6</v>
      </c>
      <c r="L123" s="17" t="n">
        <v>4.4</v>
      </c>
      <c r="M123" s="17" t="n">
        <v>3</v>
      </c>
      <c r="N123" s="17" t="n">
        <v>0.4</v>
      </c>
    </row>
    <row r="124">
      <c r="A124" s="15" t="n">
        <v>46145</v>
      </c>
      <c r="B124" s="17" t="n">
        <v>15.9</v>
      </c>
      <c r="C124" s="17" t="n">
        <v>11.6</v>
      </c>
      <c r="D124" s="17" t="n">
        <v>12.7</v>
      </c>
      <c r="E124" s="14" t="n">
        <v>90.3</v>
      </c>
      <c r="F124" s="14" t="n">
        <v>80</v>
      </c>
      <c r="G124" s="17" t="n">
        <v>1.3</v>
      </c>
      <c r="H124" s="17" t="n">
        <v>13.2</v>
      </c>
      <c r="I124" s="17" t="n">
        <v>11.1</v>
      </c>
      <c r="J124" s="17" t="n">
        <v>993.3</v>
      </c>
      <c r="K124" s="18" t="n">
        <v>3.89</v>
      </c>
      <c r="L124" s="17" t="n">
        <v>0</v>
      </c>
      <c r="M124" s="17" t="n">
        <v>1</v>
      </c>
      <c r="N124" s="17" t="n">
        <v>10.9</v>
      </c>
    </row>
    <row r="125">
      <c r="A125" s="15" t="n">
        <v>46146</v>
      </c>
      <c r="B125" s="17" t="n">
        <v>20.4</v>
      </c>
      <c r="C125" s="17" t="n">
        <v>8.1</v>
      </c>
      <c r="D125" s="17" t="n">
        <v>13.8</v>
      </c>
      <c r="E125" s="14" t="n">
        <v>61.1</v>
      </c>
      <c r="F125" s="14" t="n">
        <v>24</v>
      </c>
      <c r="G125" s="17" t="n">
        <v>1.9</v>
      </c>
      <c r="H125" s="17" t="n">
        <v>8.9</v>
      </c>
      <c r="I125" s="17" t="n">
        <v>5</v>
      </c>
      <c r="J125" s="17" t="n">
        <v>1001.4</v>
      </c>
      <c r="K125" s="18" t="n">
        <v>24.76</v>
      </c>
      <c r="L125" s="17" t="n">
        <v>9.699999999999999</v>
      </c>
      <c r="M125" s="17" t="n">
        <v>4.4</v>
      </c>
      <c r="N125" s="17" t="n">
        <v>10.2</v>
      </c>
    </row>
    <row r="126">
      <c r="A126" s="15" t="n">
        <v>46147</v>
      </c>
      <c r="B126" s="17" t="n">
        <v>22</v>
      </c>
      <c r="C126" s="17" t="n">
        <v>4.6</v>
      </c>
      <c r="D126" s="17" t="n">
        <v>13.2</v>
      </c>
      <c r="E126" s="14" t="n">
        <v>58.3</v>
      </c>
      <c r="F126" s="14" t="n">
        <v>18</v>
      </c>
      <c r="G126" s="17" t="n">
        <v>1.7</v>
      </c>
      <c r="H126" s="17" t="n">
        <v>7.8</v>
      </c>
      <c r="I126" s="17" t="n">
        <v>3.2</v>
      </c>
      <c r="J126" s="17" t="n">
        <v>1007.4</v>
      </c>
      <c r="K126" s="18" t="n">
        <v>28.66</v>
      </c>
      <c r="L126" s="17" t="n">
        <v>12.8</v>
      </c>
      <c r="M126" s="17" t="n">
        <v>5.5</v>
      </c>
      <c r="N126" s="17" t="n"/>
    </row>
    <row r="127">
      <c r="A127" s="15" t="n">
        <v>46148</v>
      </c>
      <c r="B127" s="17" t="n">
        <v>24.4</v>
      </c>
      <c r="C127" s="17" t="n">
        <v>4.9</v>
      </c>
      <c r="D127" s="17" t="n">
        <v>15.2</v>
      </c>
      <c r="E127" s="14" t="n">
        <v>59.4</v>
      </c>
      <c r="F127" s="14" t="n">
        <v>32</v>
      </c>
      <c r="G127" s="17" t="n">
        <v>1.8</v>
      </c>
      <c r="H127" s="17" t="n">
        <v>9.5</v>
      </c>
      <c r="I127" s="17" t="n">
        <v>6.2</v>
      </c>
      <c r="J127" s="17" t="n">
        <v>1005.9</v>
      </c>
      <c r="K127" s="18" t="n">
        <v>26.89</v>
      </c>
      <c r="L127" s="17" t="n">
        <v>12.3</v>
      </c>
      <c r="M127" s="17" t="n">
        <v>5.1</v>
      </c>
      <c r="N127" s="17" t="n"/>
    </row>
    <row r="128">
      <c r="A128" s="15" t="n">
        <v>46149</v>
      </c>
      <c r="B128" s="17" t="n">
        <v>21.9</v>
      </c>
      <c r="C128" s="17" t="n">
        <v>10.3</v>
      </c>
      <c r="D128" s="17" t="n">
        <v>15.5</v>
      </c>
      <c r="E128" s="14" t="n">
        <v>72.09999999999999</v>
      </c>
      <c r="F128" s="14" t="n">
        <v>38</v>
      </c>
      <c r="G128" s="17" t="n">
        <v>1.8</v>
      </c>
      <c r="H128" s="17" t="n">
        <v>12.3</v>
      </c>
      <c r="I128" s="17" t="n">
        <v>10</v>
      </c>
      <c r="J128" s="17" t="n">
        <v>1001.6</v>
      </c>
      <c r="K128" s="18" t="n">
        <v>16.36</v>
      </c>
      <c r="L128" s="17" t="n">
        <v>5.4</v>
      </c>
      <c r="M128" s="17" t="n">
        <v>3.2</v>
      </c>
      <c r="N128" s="17" t="n">
        <v>0.7</v>
      </c>
    </row>
    <row r="129">
      <c r="A129" s="15" t="n">
        <v>46150</v>
      </c>
      <c r="B129" s="17" t="n">
        <v>20.2</v>
      </c>
      <c r="C129" s="17" t="n">
        <v>8.699999999999999</v>
      </c>
      <c r="D129" s="17" t="n">
        <v>14</v>
      </c>
      <c r="E129" s="14" t="n">
        <v>57</v>
      </c>
      <c r="F129" s="14" t="n">
        <v>23</v>
      </c>
      <c r="G129" s="17" t="n">
        <v>2.4</v>
      </c>
      <c r="H129" s="17" t="n">
        <v>8.300000000000001</v>
      </c>
      <c r="I129" s="17" t="n">
        <v>4.1</v>
      </c>
      <c r="J129" s="17" t="n">
        <v>1003.3</v>
      </c>
      <c r="K129" s="18" t="n">
        <v>27.47</v>
      </c>
      <c r="L129" s="17" t="n">
        <v>11.8</v>
      </c>
      <c r="M129" s="17" t="n">
        <v>5.4</v>
      </c>
      <c r="N129" s="17" t="n"/>
    </row>
    <row r="130">
      <c r="A130" s="15" t="n">
        <v>46151</v>
      </c>
      <c r="B130" s="17" t="n">
        <v>23.5</v>
      </c>
      <c r="C130" s="17" t="n">
        <v>5.2</v>
      </c>
      <c r="D130" s="17" t="n">
        <v>15</v>
      </c>
      <c r="E130" s="14" t="n">
        <v>53.9</v>
      </c>
      <c r="F130" s="14" t="n">
        <v>22</v>
      </c>
      <c r="G130" s="17" t="n">
        <v>1.5</v>
      </c>
      <c r="H130" s="17" t="n">
        <v>8</v>
      </c>
      <c r="I130" s="17" t="n">
        <v>3.6</v>
      </c>
      <c r="J130" s="17" t="n">
        <v>1008.6</v>
      </c>
      <c r="K130" s="18" t="n">
        <v>28.03</v>
      </c>
      <c r="L130" s="17" t="n">
        <v>12.2</v>
      </c>
      <c r="M130" s="17" t="n">
        <v>5.5</v>
      </c>
      <c r="N130" s="17" t="n"/>
    </row>
    <row r="131">
      <c r="A131" s="15" t="n">
        <v>46152</v>
      </c>
      <c r="B131" s="17" t="n">
        <v>24.9</v>
      </c>
      <c r="C131" s="17" t="n">
        <v>6.8</v>
      </c>
      <c r="D131" s="17" t="n">
        <v>15.8</v>
      </c>
      <c r="E131" s="14" t="n">
        <v>50.6</v>
      </c>
      <c r="F131" s="14" t="n">
        <v>18</v>
      </c>
      <c r="G131" s="17" t="n">
        <v>1.4</v>
      </c>
      <c r="H131" s="17" t="n">
        <v>8.1</v>
      </c>
      <c r="I131" s="17" t="n">
        <v>3.8</v>
      </c>
      <c r="J131" s="17" t="n">
        <v>1007.3</v>
      </c>
      <c r="K131" s="18" t="n">
        <v>24.33</v>
      </c>
      <c r="L131" s="17" t="n">
        <v>9.800000000000001</v>
      </c>
      <c r="M131" s="17" t="n">
        <v>4.7</v>
      </c>
      <c r="N131" s="17" t="n"/>
    </row>
    <row r="132">
      <c r="A132" s="15" t="n">
        <v>46153</v>
      </c>
      <c r="B132" s="17" t="n">
        <v>20.5</v>
      </c>
      <c r="C132" s="17" t="n">
        <v>7.6</v>
      </c>
      <c r="D132" s="17" t="n">
        <v>15</v>
      </c>
      <c r="E132" s="14" t="n">
        <v>76.59999999999999</v>
      </c>
      <c r="F132" s="14" t="n">
        <v>50</v>
      </c>
      <c r="G132" s="17" t="n">
        <v>0.9</v>
      </c>
      <c r="H132" s="17" t="n">
        <v>13.3</v>
      </c>
      <c r="I132" s="17" t="n">
        <v>10.7</v>
      </c>
      <c r="J132" s="17" t="n">
        <v>1004.9</v>
      </c>
      <c r="K132" s="18" t="n">
        <v>9.869999999999999</v>
      </c>
      <c r="L132" s="17" t="n">
        <v>0.5</v>
      </c>
      <c r="M132" s="17" t="n">
        <v>1.8</v>
      </c>
      <c r="N132" s="17" t="n">
        <v>0.7</v>
      </c>
    </row>
    <row r="133">
      <c r="A133" s="15" t="n">
        <v>46154</v>
      </c>
      <c r="B133" s="17" t="n">
        <v>25.9</v>
      </c>
      <c r="C133" s="17" t="n">
        <v>14.7</v>
      </c>
      <c r="D133" s="17" t="n">
        <v>19.4</v>
      </c>
      <c r="E133" s="14" t="n">
        <v>73</v>
      </c>
      <c r="F133" s="14" t="n">
        <v>43</v>
      </c>
      <c r="G133" s="17" t="n">
        <v>1.2</v>
      </c>
      <c r="H133" s="17" t="n">
        <v>15.8</v>
      </c>
      <c r="I133" s="17" t="n">
        <v>13.7</v>
      </c>
      <c r="J133" s="17" t="n">
        <v>999.5</v>
      </c>
      <c r="K133" s="18" t="n">
        <v>22.63</v>
      </c>
      <c r="L133" s="17" t="n">
        <v>8</v>
      </c>
      <c r="M133" s="17" t="n">
        <v>3.8</v>
      </c>
      <c r="N133" s="17" t="n">
        <v>0</v>
      </c>
    </row>
    <row r="134">
      <c r="A134" s="15" t="n">
        <v>46155</v>
      </c>
      <c r="B134" s="17" t="n">
        <v>28.6</v>
      </c>
      <c r="C134" s="17" t="n">
        <v>12.6</v>
      </c>
      <c r="D134" s="17" t="n">
        <v>20</v>
      </c>
      <c r="E134" s="14" t="n">
        <v>68.59999999999999</v>
      </c>
      <c r="F134" s="14" t="n">
        <v>34</v>
      </c>
      <c r="G134" s="17" t="n">
        <v>1.4</v>
      </c>
      <c r="H134" s="17" t="n">
        <v>15</v>
      </c>
      <c r="I134" s="17" t="n">
        <v>13</v>
      </c>
      <c r="J134" s="17" t="n">
        <v>999.6</v>
      </c>
      <c r="K134" s="18" t="n">
        <v>25.62</v>
      </c>
      <c r="L134" s="17" t="n">
        <v>9.6</v>
      </c>
      <c r="M134" s="17" t="n">
        <v>5.4</v>
      </c>
      <c r="N134" s="17" t="n"/>
    </row>
    <row r="135">
      <c r="A135" s="15" t="n">
        <v>46156</v>
      </c>
      <c r="B135" s="17" t="n">
        <v>29.1</v>
      </c>
      <c r="C135" s="17" t="n">
        <v>15.1</v>
      </c>
      <c r="D135" s="17" t="n">
        <v>22</v>
      </c>
      <c r="E135" s="14" t="n">
        <v>57.6</v>
      </c>
      <c r="F135" s="14" t="n">
        <v>33</v>
      </c>
      <c r="G135" s="17" t="n">
        <v>2.4</v>
      </c>
      <c r="H135" s="17" t="n">
        <v>14.2</v>
      </c>
      <c r="I135" s="17" t="n">
        <v>12.1</v>
      </c>
      <c r="J135" s="17" t="n">
        <v>1005.5</v>
      </c>
      <c r="K135" s="18" t="n">
        <v>27.64</v>
      </c>
      <c r="L135" s="17" t="n">
        <v>12.6</v>
      </c>
      <c r="M135" s="17" t="n">
        <v>6</v>
      </c>
      <c r="N135" s="17" t="n"/>
    </row>
    <row r="136">
      <c r="A136" s="15" t="n">
        <v>46157</v>
      </c>
      <c r="B136" s="17" t="n">
        <v>31.3</v>
      </c>
      <c r="C136" s="17" t="n">
        <v>13.2</v>
      </c>
      <c r="D136" s="17" t="n">
        <v>22.1</v>
      </c>
      <c r="E136" s="14" t="n">
        <v>59.6</v>
      </c>
      <c r="F136" s="14" t="n">
        <v>26</v>
      </c>
      <c r="G136" s="17" t="n">
        <v>1.5</v>
      </c>
      <c r="H136" s="17" t="n">
        <v>14.5</v>
      </c>
      <c r="I136" s="17" t="n">
        <v>12.5</v>
      </c>
      <c r="J136" s="17" t="n">
        <v>1010.7</v>
      </c>
      <c r="K136" s="18" t="n">
        <v>27.7</v>
      </c>
      <c r="L136" s="17" t="n">
        <v>12.6</v>
      </c>
      <c r="M136" s="17" t="n">
        <v>5.7</v>
      </c>
      <c r="N136" s="17" t="n"/>
    </row>
    <row r="137">
      <c r="A137" s="15" t="n">
        <v>46158</v>
      </c>
      <c r="B137" s="17" t="n">
        <v>31.4</v>
      </c>
      <c r="C137" s="17" t="n">
        <v>14</v>
      </c>
      <c r="D137" s="17" t="n">
        <v>22.4</v>
      </c>
      <c r="E137" s="14" t="n">
        <v>60.5</v>
      </c>
      <c r="F137" s="14" t="n">
        <v>30</v>
      </c>
      <c r="G137" s="17" t="n">
        <v>1.4</v>
      </c>
      <c r="H137" s="17" t="n">
        <v>15</v>
      </c>
      <c r="I137" s="17" t="n">
        <v>13</v>
      </c>
      <c r="J137" s="17" t="n">
        <v>1010.9</v>
      </c>
      <c r="K137" s="18" t="n">
        <v>27.85</v>
      </c>
      <c r="L137" s="17" t="n">
        <v>12.7</v>
      </c>
      <c r="M137" s="17" t="n">
        <v>5.8</v>
      </c>
      <c r="N137" s="17" t="n"/>
    </row>
    <row r="138">
      <c r="A138" s="15" t="n">
        <v>46159</v>
      </c>
      <c r="B138" s="17" t="n">
        <v>30.6</v>
      </c>
      <c r="C138" s="17" t="n">
        <v>12.7</v>
      </c>
      <c r="D138" s="17" t="n">
        <v>21.5</v>
      </c>
      <c r="E138" s="14" t="n">
        <v>56.9</v>
      </c>
      <c r="F138" s="14" t="n">
        <v>25</v>
      </c>
      <c r="G138" s="17" t="n">
        <v>1.4</v>
      </c>
      <c r="H138" s="17" t="n">
        <v>13.1</v>
      </c>
      <c r="I138" s="17" t="n">
        <v>10.9</v>
      </c>
      <c r="J138" s="17" t="n">
        <v>1009.1</v>
      </c>
      <c r="K138" s="18" t="n">
        <v>27.41</v>
      </c>
      <c r="L138" s="17" t="n">
        <v>12.5</v>
      </c>
      <c r="M138" s="17" t="n">
        <v>5.8</v>
      </c>
      <c r="N138" s="17" t="n"/>
    </row>
    <row r="139">
      <c r="A139" s="15" t="n">
        <v>46160</v>
      </c>
      <c r="B139" s="17" t="n">
        <v>30.5</v>
      </c>
      <c r="C139" s="17" t="n">
        <v>12.1</v>
      </c>
      <c r="D139" s="17" t="n">
        <v>21.6</v>
      </c>
      <c r="E139" s="14" t="n">
        <v>53.3</v>
      </c>
      <c r="F139" s="14" t="n">
        <v>23</v>
      </c>
      <c r="G139" s="17" t="n">
        <v>1.5</v>
      </c>
      <c r="H139" s="17" t="n">
        <v>12.3</v>
      </c>
      <c r="I139" s="17" t="n">
        <v>9.9</v>
      </c>
      <c r="J139" s="17" t="n">
        <v>1006.3</v>
      </c>
      <c r="K139" s="18" t="n">
        <v>26.98</v>
      </c>
      <c r="L139" s="17" t="n">
        <v>11.3</v>
      </c>
      <c r="M139" s="17" t="n">
        <v>5.8</v>
      </c>
      <c r="N139" s="17" t="n"/>
    </row>
    <row r="140">
      <c r="A140" s="15" t="n">
        <v>46161</v>
      </c>
      <c r="B140" s="17" t="n">
        <v>26</v>
      </c>
      <c r="C140" s="17" t="n">
        <v>15.6</v>
      </c>
      <c r="D140" s="17" t="n">
        <v>20.9</v>
      </c>
      <c r="E140" s="14" t="n">
        <v>60.4</v>
      </c>
      <c r="F140" s="14" t="n">
        <v>38</v>
      </c>
      <c r="G140" s="17" t="n">
        <v>1.4</v>
      </c>
      <c r="H140" s="17" t="n">
        <v>14.6</v>
      </c>
      <c r="I140" s="17" t="n">
        <v>12.5</v>
      </c>
      <c r="J140" s="17" t="n">
        <v>1004.6</v>
      </c>
      <c r="K140" s="18" t="n">
        <v>13.56</v>
      </c>
      <c r="L140" s="17" t="n">
        <v>1.6</v>
      </c>
      <c r="M140" s="17" t="n">
        <v>2.9</v>
      </c>
      <c r="N140" s="17" t="n">
        <v>0</v>
      </c>
    </row>
    <row r="141">
      <c r="A141" s="15" t="n">
        <v>46162</v>
      </c>
      <c r="B141" s="17" t="n">
        <v>20</v>
      </c>
      <c r="C141" s="17" t="n">
        <v>14.5</v>
      </c>
      <c r="D141" s="17" t="n">
        <v>16.4</v>
      </c>
      <c r="E141" s="14" t="n">
        <v>86.5</v>
      </c>
      <c r="F141" s="14" t="n">
        <v>63</v>
      </c>
      <c r="G141" s="17" t="n">
        <v>1.7</v>
      </c>
      <c r="H141" s="17" t="n">
        <v>16</v>
      </c>
      <c r="I141" s="17" t="n">
        <v>14</v>
      </c>
      <c r="J141" s="17" t="n">
        <v>1001</v>
      </c>
      <c r="K141" s="18" t="n">
        <v>2.74</v>
      </c>
      <c r="L141" s="17" t="n">
        <v>0</v>
      </c>
      <c r="M141" s="17" t="n">
        <v>0.7</v>
      </c>
      <c r="N141" s="17" t="n">
        <v>54.7</v>
      </c>
    </row>
    <row r="142">
      <c r="A142" s="15" t="n">
        <v>46163</v>
      </c>
      <c r="B142" s="17" t="n">
        <v>19.8</v>
      </c>
      <c r="C142" s="17" t="n">
        <v>14.3</v>
      </c>
      <c r="D142" s="17" t="n">
        <v>16.7</v>
      </c>
      <c r="E142" s="14" t="n">
        <v>82.40000000000001</v>
      </c>
      <c r="F142" s="14" t="n">
        <v>63</v>
      </c>
      <c r="G142" s="17" t="n">
        <v>2</v>
      </c>
      <c r="H142" s="17" t="n">
        <v>15.5</v>
      </c>
      <c r="I142" s="17" t="n">
        <v>13.5</v>
      </c>
      <c r="J142" s="17" t="n">
        <v>998.3</v>
      </c>
      <c r="K142" s="18" t="n">
        <v>7.24</v>
      </c>
      <c r="L142" s="17" t="n">
        <v>0.2</v>
      </c>
      <c r="M142" s="17" t="n">
        <v>1.8</v>
      </c>
      <c r="N142" s="17" t="n">
        <v>22</v>
      </c>
    </row>
    <row r="143">
      <c r="A143" s="15" t="n">
        <v>46164</v>
      </c>
      <c r="B143" s="17" t="n">
        <v>25.1</v>
      </c>
      <c r="C143" s="17" t="n">
        <v>11</v>
      </c>
      <c r="D143" s="17" t="n">
        <v>18.7</v>
      </c>
      <c r="E143" s="14" t="n">
        <v>54.4</v>
      </c>
      <c r="F143" s="14" t="n">
        <v>21</v>
      </c>
      <c r="G143" s="17" t="n">
        <v>2.5</v>
      </c>
      <c r="H143" s="17" t="n">
        <v>10.6</v>
      </c>
      <c r="I143" s="17" t="n">
        <v>7.5</v>
      </c>
      <c r="J143" s="17" t="n">
        <v>1003.5</v>
      </c>
      <c r="K143" s="18" t="n">
        <v>28.46</v>
      </c>
      <c r="L143" s="17" t="n">
        <v>12.3</v>
      </c>
      <c r="M143" s="17" t="n">
        <v>5.9</v>
      </c>
      <c r="N143" s="17" t="n"/>
    </row>
    <row r="144">
      <c r="A144" s="15" t="n">
        <v>46165</v>
      </c>
      <c r="B144" s="17" t="n">
        <v>23.5</v>
      </c>
      <c r="C144" s="17" t="n">
        <v>11.6</v>
      </c>
      <c r="D144" s="17" t="n">
        <v>16.6</v>
      </c>
      <c r="E144" s="14" t="n">
        <v>68.8</v>
      </c>
      <c r="F144" s="14" t="n">
        <v>42</v>
      </c>
      <c r="G144" s="17" t="n">
        <v>1.8</v>
      </c>
      <c r="H144" s="17" t="n">
        <v>12.6</v>
      </c>
      <c r="I144" s="17" t="n">
        <v>10.3</v>
      </c>
      <c r="J144" s="17" t="n">
        <v>1003.2</v>
      </c>
      <c r="K144" s="18" t="n">
        <v>19.11</v>
      </c>
      <c r="L144" s="17" t="n">
        <v>6.1</v>
      </c>
      <c r="M144" s="17" t="n">
        <v>3.5</v>
      </c>
      <c r="N144" s="17" t="n"/>
    </row>
    <row r="145">
      <c r="A145" s="15" t="n">
        <v>46166</v>
      </c>
      <c r="B145" s="17" t="n">
        <v>29.3</v>
      </c>
      <c r="C145" s="17" t="n">
        <v>11.6</v>
      </c>
      <c r="D145" s="17" t="n">
        <v>20.1</v>
      </c>
      <c r="E145" s="14" t="n">
        <v>70</v>
      </c>
      <c r="F145" s="14" t="n">
        <v>39</v>
      </c>
      <c r="G145" s="17" t="n">
        <v>1.3</v>
      </c>
      <c r="H145" s="17" t="n">
        <v>15.7</v>
      </c>
      <c r="I145" s="17" t="n">
        <v>13.6</v>
      </c>
      <c r="J145" s="17" t="n">
        <v>1003.9</v>
      </c>
      <c r="K145" s="18" t="n">
        <v>27.68</v>
      </c>
      <c r="L145" s="17" t="n">
        <v>12.6</v>
      </c>
      <c r="M145" s="17" t="n">
        <v>5</v>
      </c>
      <c r="N145" s="17" t="n"/>
    </row>
    <row r="146">
      <c r="A146" s="15" t="n">
        <v>46167</v>
      </c>
      <c r="B146" s="17" t="n">
        <v>30</v>
      </c>
      <c r="C146" s="17" t="n">
        <v>14.3</v>
      </c>
      <c r="D146" s="17" t="n">
        <v>22.3</v>
      </c>
      <c r="E146" s="14" t="n">
        <v>68.90000000000001</v>
      </c>
      <c r="F146" s="14" t="n">
        <v>40</v>
      </c>
      <c r="G146" s="17" t="n">
        <v>1.3</v>
      </c>
      <c r="H146" s="17" t="n">
        <v>17.7</v>
      </c>
      <c r="I146" s="17" t="n">
        <v>15.5</v>
      </c>
      <c r="J146" s="17" t="n">
        <v>1001.3</v>
      </c>
      <c r="K146" s="18" t="n">
        <v>26.16</v>
      </c>
      <c r="L146" s="17" t="n">
        <v>11.2</v>
      </c>
      <c r="M146" s="17" t="n">
        <v>4.6</v>
      </c>
      <c r="N146" s="17" t="n"/>
    </row>
    <row r="147">
      <c r="A147" s="15" t="n">
        <v>46168</v>
      </c>
      <c r="B147" s="17" t="n">
        <v>27.6</v>
      </c>
      <c r="C147" s="17" t="n">
        <v>18.8</v>
      </c>
      <c r="D147" s="17" t="n">
        <v>22.7</v>
      </c>
      <c r="E147" s="14" t="n">
        <v>75.8</v>
      </c>
      <c r="F147" s="14" t="n">
        <v>59</v>
      </c>
      <c r="G147" s="17" t="n">
        <v>1.2</v>
      </c>
      <c r="H147" s="17" t="n">
        <v>20.7</v>
      </c>
      <c r="I147" s="17" t="n">
        <v>18</v>
      </c>
      <c r="J147" s="17" t="n">
        <v>998.1</v>
      </c>
      <c r="K147" s="18" t="n">
        <v>11.55</v>
      </c>
      <c r="L147" s="17" t="n">
        <v>0.7</v>
      </c>
      <c r="M147" s="17" t="n">
        <v>2.2</v>
      </c>
      <c r="N147" s="17" t="n">
        <v>0.1</v>
      </c>
    </row>
    <row r="148">
      <c r="A148" s="15" t="n">
        <v>46169</v>
      </c>
      <c r="B148" s="17" t="n">
        <v>23</v>
      </c>
      <c r="C148" s="17" t="n">
        <v>17.3</v>
      </c>
      <c r="D148" s="17" t="n">
        <v>20.2</v>
      </c>
      <c r="E148" s="14" t="n">
        <v>81.59999999999999</v>
      </c>
      <c r="F148" s="14" t="n">
        <v>69</v>
      </c>
      <c r="G148" s="17" t="n">
        <v>1.7</v>
      </c>
      <c r="H148" s="17" t="n">
        <v>19.1</v>
      </c>
      <c r="I148" s="17" t="n">
        <v>16.8</v>
      </c>
      <c r="J148" s="17" t="n">
        <v>996.2</v>
      </c>
      <c r="K148" s="18" t="n">
        <v>5.88</v>
      </c>
      <c r="L148" s="17" t="n">
        <v>0</v>
      </c>
      <c r="M148" s="17" t="n">
        <v>1.4</v>
      </c>
      <c r="N148" s="17" t="n">
        <v>3</v>
      </c>
    </row>
    <row r="149">
      <c r="A149" s="15" t="n">
        <v>46170</v>
      </c>
      <c r="B149" s="17" t="n">
        <v>27.9</v>
      </c>
      <c r="C149" s="17" t="n">
        <v>16.9</v>
      </c>
      <c r="D149" s="17" t="n">
        <v>21.2</v>
      </c>
      <c r="E149" s="14" t="n">
        <v>78</v>
      </c>
      <c r="F149" s="14" t="n">
        <v>44</v>
      </c>
      <c r="G149" s="17" t="n">
        <v>1.1</v>
      </c>
      <c r="H149" s="17" t="n">
        <v>19.1</v>
      </c>
      <c r="I149" s="17" t="n">
        <v>16.7</v>
      </c>
      <c r="J149" s="17" t="n">
        <v>993.8</v>
      </c>
      <c r="K149" s="18" t="n">
        <v>19.27</v>
      </c>
      <c r="L149" s="17" t="n">
        <v>5.7</v>
      </c>
      <c r="M149" s="17" t="n">
        <v>3.9</v>
      </c>
      <c r="N149" s="17" t="n">
        <v>2.1</v>
      </c>
    </row>
    <row r="150">
      <c r="A150" s="15" t="n">
        <v>46171</v>
      </c>
      <c r="B150" s="17" t="n">
        <v>28.6</v>
      </c>
      <c r="C150" s="17" t="n">
        <v>14.6</v>
      </c>
      <c r="D150" s="17" t="n">
        <v>21.7</v>
      </c>
      <c r="E150" s="14" t="n">
        <v>63.9</v>
      </c>
      <c r="F150" s="14" t="n">
        <v>28</v>
      </c>
      <c r="G150" s="17" t="n">
        <v>1.5</v>
      </c>
      <c r="H150" s="17" t="n">
        <v>15.5</v>
      </c>
      <c r="I150" s="17" t="n">
        <v>13.5</v>
      </c>
      <c r="J150" s="17" t="n">
        <v>998.3</v>
      </c>
      <c r="K150" s="18" t="n">
        <v>29.81</v>
      </c>
      <c r="L150" s="17" t="n">
        <v>13.2</v>
      </c>
      <c r="M150" s="17" t="n">
        <v>6</v>
      </c>
      <c r="N150" s="17" t="n"/>
    </row>
    <row r="151">
      <c r="A151" s="15" t="n">
        <v>46172</v>
      </c>
      <c r="B151" s="17" t="n">
        <v>30.2</v>
      </c>
      <c r="C151" s="17" t="n">
        <v>12.6</v>
      </c>
      <c r="D151" s="17" t="n">
        <v>21.8</v>
      </c>
      <c r="E151" s="14" t="n">
        <v>58.8</v>
      </c>
      <c r="F151" s="14" t="n">
        <v>29</v>
      </c>
      <c r="G151" s="17" t="n">
        <v>1.8</v>
      </c>
      <c r="H151" s="17" t="n">
        <v>14.1</v>
      </c>
      <c r="I151" s="17" t="n">
        <v>12.1</v>
      </c>
      <c r="J151" s="17" t="n">
        <v>1000.1</v>
      </c>
      <c r="K151" s="18" t="n">
        <v>29.66</v>
      </c>
      <c r="L151" s="17" t="n">
        <v>13.4</v>
      </c>
      <c r="M151" s="17" t="n">
        <v>6.4</v>
      </c>
      <c r="N151" s="17" t="n"/>
    </row>
    <row r="152">
      <c r="A152" s="15" t="n">
        <v>46173</v>
      </c>
      <c r="B152" s="17" t="n">
        <v>31.3</v>
      </c>
      <c r="C152" s="17" t="n">
        <v>13.6</v>
      </c>
      <c r="D152" s="17" t="n">
        <v>22.3</v>
      </c>
      <c r="E152" s="14" t="n">
        <v>56.5</v>
      </c>
      <c r="F152" s="14" t="n">
        <v>22</v>
      </c>
      <c r="G152" s="17" t="n">
        <v>1.4</v>
      </c>
      <c r="H152" s="17" t="n">
        <v>13.7</v>
      </c>
      <c r="I152" s="17" t="n">
        <v>11.5</v>
      </c>
      <c r="J152" s="17" t="n">
        <v>1003.7</v>
      </c>
      <c r="K152" s="18" t="n">
        <v>29.3</v>
      </c>
      <c r="L152" s="17" t="n">
        <v>12.7</v>
      </c>
      <c r="M152" s="17" t="n">
        <v>6.1</v>
      </c>
      <c r="N152" s="17" t="n"/>
    </row>
    <row r="153">
      <c r="A153" s="15" t="n">
        <v>46174</v>
      </c>
      <c r="B153" s="17" t="n">
        <v>27.4</v>
      </c>
      <c r="C153" s="17" t="n">
        <v>14.1</v>
      </c>
      <c r="D153" s="17" t="n">
        <v>20.3</v>
      </c>
      <c r="E153" s="14" t="n">
        <v>67.8</v>
      </c>
      <c r="F153" s="14" t="n">
        <v>40</v>
      </c>
      <c r="G153" s="17" t="n">
        <v>1.2</v>
      </c>
      <c r="H153" s="17" t="n">
        <v>15.5</v>
      </c>
      <c r="I153" s="17" t="n">
        <v>13.5</v>
      </c>
      <c r="J153" s="17" t="n">
        <v>1004.4</v>
      </c>
      <c r="K153" s="18" t="n">
        <v>16.25</v>
      </c>
      <c r="L153" s="17" t="n">
        <v>2.2</v>
      </c>
      <c r="M153" s="17" t="n">
        <v>3.2</v>
      </c>
      <c r="N153" s="17" t="n"/>
    </row>
    <row r="154">
      <c r="A154" s="15" t="n">
        <v>46175</v>
      </c>
      <c r="B154" s="17" t="n">
        <v>32.3</v>
      </c>
      <c r="C154" s="17" t="n">
        <v>14.5</v>
      </c>
      <c r="D154" s="17" t="n">
        <v>23.3</v>
      </c>
      <c r="E154" s="14" t="n">
        <v>64.59999999999999</v>
      </c>
      <c r="F154" s="14" t="n">
        <v>33</v>
      </c>
      <c r="G154" s="17" t="n">
        <v>1.5</v>
      </c>
      <c r="H154" s="17" t="n">
        <v>17.3</v>
      </c>
      <c r="I154" s="17" t="n">
        <v>15.1</v>
      </c>
      <c r="J154" s="17" t="n">
        <v>997.5</v>
      </c>
      <c r="K154" s="18" t="n">
        <v>28.89</v>
      </c>
      <c r="L154" s="17" t="n">
        <v>12.6</v>
      </c>
      <c r="M154" s="17" t="n">
        <v>5.7</v>
      </c>
      <c r="N154" s="17" t="n"/>
    </row>
    <row r="155">
      <c r="A155" s="15" t="n">
        <v>46176</v>
      </c>
      <c r="B155" s="17" t="n">
        <v>31.1</v>
      </c>
      <c r="C155" s="17" t="n">
        <v>17</v>
      </c>
      <c r="D155" s="17" t="n">
        <v>24.3</v>
      </c>
      <c r="E155" s="14" t="n">
        <v>66</v>
      </c>
      <c r="F155" s="14" t="n">
        <v>34</v>
      </c>
      <c r="G155" s="17" t="n">
        <v>1.2</v>
      </c>
      <c r="H155" s="17" t="n">
        <v>19</v>
      </c>
      <c r="I155" s="17" t="n">
        <v>16.7</v>
      </c>
      <c r="J155" s="17" t="n">
        <v>994</v>
      </c>
      <c r="K155" s="18" t="n">
        <v>23.89</v>
      </c>
      <c r="L155" s="17" t="n">
        <v>9.1</v>
      </c>
      <c r="M155" s="17" t="n">
        <v>4.4</v>
      </c>
      <c r="N155" s="17" t="n"/>
    </row>
    <row r="156">
      <c r="A156" s="15" t="n">
        <v>46177</v>
      </c>
      <c r="B156" s="17" t="n">
        <v>28.3</v>
      </c>
      <c r="C156" s="17" t="n">
        <v>19.8</v>
      </c>
      <c r="D156" s="17" t="n">
        <v>22.5</v>
      </c>
      <c r="E156" s="14" t="n">
        <v>78.8</v>
      </c>
      <c r="F156" s="14" t="n">
        <v>58</v>
      </c>
      <c r="G156" s="17" t="n">
        <v>1.4</v>
      </c>
      <c r="H156" s="17" t="n">
        <v>21.2</v>
      </c>
      <c r="I156" s="17" t="n">
        <v>18.4</v>
      </c>
      <c r="J156" s="17" t="n">
        <v>992.4</v>
      </c>
      <c r="K156" s="18" t="n">
        <v>11.48</v>
      </c>
      <c r="L156" s="17" t="n">
        <v>1.2</v>
      </c>
      <c r="M156" s="17" t="n">
        <v>2.4</v>
      </c>
      <c r="N156" s="17" t="n">
        <v>14.2</v>
      </c>
    </row>
    <row r="157">
      <c r="A157" s="15" t="n">
        <v>46178</v>
      </c>
      <c r="B157" s="17" t="n">
        <v>25.2</v>
      </c>
      <c r="C157" s="17" t="n">
        <v>14.3</v>
      </c>
      <c r="D157" s="17" t="n">
        <v>20.5</v>
      </c>
      <c r="E157" s="14" t="n">
        <v>65.5</v>
      </c>
      <c r="F157" s="14" t="n">
        <v>37</v>
      </c>
      <c r="G157" s="17" t="n">
        <v>2.3</v>
      </c>
      <c r="H157" s="17" t="n">
        <v>15.3</v>
      </c>
      <c r="I157" s="17" t="n">
        <v>13</v>
      </c>
      <c r="J157" s="17" t="n">
        <v>996.9</v>
      </c>
      <c r="K157" s="18" t="n">
        <v>29.77</v>
      </c>
      <c r="L157" s="17" t="n">
        <v>11.2</v>
      </c>
      <c r="M157" s="17" t="n">
        <v>5.7</v>
      </c>
      <c r="N157" s="17" t="n">
        <v>0</v>
      </c>
    </row>
    <row r="158">
      <c r="A158" s="15" t="n">
        <v>46179</v>
      </c>
      <c r="B158" s="17" t="n">
        <v>27.3</v>
      </c>
      <c r="C158" s="17" t="n">
        <v>11.4</v>
      </c>
      <c r="D158" s="17" t="n">
        <v>20.1</v>
      </c>
      <c r="E158" s="14" t="n">
        <v>59.6</v>
      </c>
      <c r="F158" s="14" t="n">
        <v>29</v>
      </c>
      <c r="G158" s="17" t="n">
        <v>1.6</v>
      </c>
      <c r="H158" s="17" t="n">
        <v>13.1</v>
      </c>
      <c r="I158" s="17" t="n">
        <v>11</v>
      </c>
      <c r="J158" s="17" t="n">
        <v>1003.7</v>
      </c>
      <c r="K158" s="18" t="n">
        <v>25.19</v>
      </c>
      <c r="L158" s="17" t="n">
        <v>9.699999999999999</v>
      </c>
      <c r="M158" s="17" t="n">
        <v>4.7</v>
      </c>
      <c r="N158" s="17" t="n"/>
    </row>
    <row r="159">
      <c r="A159" s="15" t="n">
        <v>46180</v>
      </c>
      <c r="B159" s="17" t="n">
        <v>24.6</v>
      </c>
      <c r="C159" s="17" t="n">
        <v>17.1</v>
      </c>
      <c r="D159" s="17" t="n">
        <v>20.2</v>
      </c>
      <c r="E159" s="14" t="n">
        <v>72.5</v>
      </c>
      <c r="F159" s="14" t="n">
        <v>52</v>
      </c>
      <c r="G159" s="17" t="n">
        <v>1.8</v>
      </c>
      <c r="H159" s="17" t="n">
        <v>17.1</v>
      </c>
      <c r="I159" s="17" t="n">
        <v>15</v>
      </c>
      <c r="J159" s="17" t="n">
        <v>1000.1</v>
      </c>
      <c r="K159" s="18" t="n">
        <v>11.58</v>
      </c>
      <c r="L159" s="17" t="n">
        <v>0.8</v>
      </c>
      <c r="M159" s="17" t="n">
        <v>2.1</v>
      </c>
      <c r="N159" s="17" t="n">
        <v>4.7</v>
      </c>
    </row>
    <row r="160">
      <c r="A160" s="15" t="n">
        <v>46181</v>
      </c>
      <c r="B160" s="17" t="n">
        <v>26.4</v>
      </c>
      <c r="C160" s="17" t="n">
        <v>15.8</v>
      </c>
      <c r="D160" s="17" t="n">
        <v>20.2</v>
      </c>
      <c r="E160" s="14" t="n">
        <v>71.8</v>
      </c>
      <c r="F160" s="14" t="n">
        <v>42</v>
      </c>
      <c r="G160" s="17" t="n">
        <v>1.5</v>
      </c>
      <c r="H160" s="17" t="n">
        <v>16.3</v>
      </c>
      <c r="I160" s="17" t="n">
        <v>14.2</v>
      </c>
      <c r="J160" s="17" t="n">
        <v>997.2</v>
      </c>
      <c r="K160" s="18" t="n">
        <v>22.94</v>
      </c>
      <c r="L160" s="17" t="n">
        <v>7.5</v>
      </c>
      <c r="M160" s="17" t="n">
        <v>4.7</v>
      </c>
      <c r="N160" s="17" t="n"/>
    </row>
    <row r="161">
      <c r="A161" s="15" t="n">
        <v>46182</v>
      </c>
      <c r="B161" s="17" t="n">
        <v>26.8</v>
      </c>
      <c r="C161" s="17" t="n">
        <v>13.2</v>
      </c>
      <c r="D161" s="17" t="n">
        <v>19.7</v>
      </c>
      <c r="E161" s="14" t="n">
        <v>66.09999999999999</v>
      </c>
      <c r="F161" s="14" t="n">
        <v>37</v>
      </c>
      <c r="G161" s="17" t="n">
        <v>1.3</v>
      </c>
      <c r="H161" s="17" t="n">
        <v>14.5</v>
      </c>
      <c r="I161" s="17" t="n">
        <v>12.4</v>
      </c>
      <c r="J161" s="17" t="n">
        <v>998.3</v>
      </c>
      <c r="K161" s="18" t="n">
        <v>21.6</v>
      </c>
      <c r="L161" s="17" t="n">
        <v>7.9</v>
      </c>
      <c r="M161" s="17" t="n">
        <v>3.9</v>
      </c>
      <c r="N161" s="17" t="n">
        <v>0.1</v>
      </c>
    </row>
    <row r="162">
      <c r="A162" s="15" t="n">
        <v>46183</v>
      </c>
      <c r="B162" s="17" t="n">
        <v>26.4</v>
      </c>
      <c r="C162" s="17" t="n">
        <v>13.2</v>
      </c>
      <c r="D162" s="17" t="n">
        <v>20.2</v>
      </c>
      <c r="E162" s="14" t="n">
        <v>66.59999999999999</v>
      </c>
      <c r="F162" s="14" t="n">
        <v>41</v>
      </c>
      <c r="G162" s="17" t="n">
        <v>1.6</v>
      </c>
      <c r="H162" s="17" t="n">
        <v>15.1</v>
      </c>
      <c r="I162" s="17" t="n">
        <v>13.1</v>
      </c>
      <c r="J162" s="17" t="n">
        <v>998.8</v>
      </c>
      <c r="K162" s="18" t="n">
        <v>22.72</v>
      </c>
      <c r="L162" s="17" t="n">
        <v>8.6</v>
      </c>
      <c r="M162" s="17" t="n">
        <v>4.5</v>
      </c>
      <c r="N162" s="17" t="n"/>
    </row>
    <row r="163">
      <c r="A163" s="15" t="n">
        <v>46184</v>
      </c>
      <c r="B163" s="17" t="n">
        <v>26.2</v>
      </c>
      <c r="C163" s="17" t="n">
        <v>14.1</v>
      </c>
      <c r="D163" s="17" t="n">
        <v>20</v>
      </c>
      <c r="E163" s="14" t="n">
        <v>72.40000000000001</v>
      </c>
      <c r="F163" s="14" t="n">
        <v>42</v>
      </c>
      <c r="G163" s="17" t="n">
        <v>1.4</v>
      </c>
      <c r="H163" s="17" t="n">
        <v>16.2</v>
      </c>
      <c r="I163" s="17" t="n">
        <v>14.2</v>
      </c>
      <c r="J163" s="17" t="n">
        <v>1001</v>
      </c>
      <c r="K163" s="18" t="n">
        <v>21.52</v>
      </c>
      <c r="L163" s="17" t="n">
        <v>8.6</v>
      </c>
      <c r="M163" s="17" t="n">
        <v>3.8</v>
      </c>
      <c r="N163" s="17" t="n">
        <v>0.6</v>
      </c>
    </row>
    <row r="164">
      <c r="A164" s="15" t="n">
        <v>46185</v>
      </c>
      <c r="B164" s="17" t="n">
        <v>28.3</v>
      </c>
      <c r="C164" s="17" t="n">
        <v>15.3</v>
      </c>
      <c r="D164" s="17" t="n">
        <v>20.9</v>
      </c>
      <c r="E164" s="14" t="n">
        <v>68.40000000000001</v>
      </c>
      <c r="F164" s="14" t="n">
        <v>38</v>
      </c>
      <c r="G164" s="17" t="n">
        <v>1.4</v>
      </c>
      <c r="H164" s="17" t="n">
        <v>16.1</v>
      </c>
      <c r="I164" s="17" t="n">
        <v>14.1</v>
      </c>
      <c r="J164" s="17" t="n">
        <v>1003.2</v>
      </c>
      <c r="K164" s="18" t="n">
        <v>25.98</v>
      </c>
      <c r="L164" s="17" t="n">
        <v>10.8</v>
      </c>
      <c r="M164" s="17" t="n">
        <v>5.1</v>
      </c>
      <c r="N164" s="17" t="n"/>
    </row>
    <row r="165">
      <c r="A165" s="15" t="n">
        <v>46186</v>
      </c>
      <c r="B165" s="17" t="n">
        <v>31.1</v>
      </c>
      <c r="C165" s="17" t="n">
        <v>13</v>
      </c>
      <c r="D165" s="17" t="n">
        <v>22</v>
      </c>
      <c r="E165" s="14" t="n">
        <v>61.6</v>
      </c>
      <c r="F165" s="14" t="n">
        <v>29</v>
      </c>
      <c r="G165" s="17" t="n">
        <v>1.3</v>
      </c>
      <c r="H165" s="17" t="n">
        <v>15.1</v>
      </c>
      <c r="I165" s="17" t="n">
        <v>13</v>
      </c>
      <c r="J165" s="17" t="n">
        <v>1002</v>
      </c>
      <c r="K165" s="18" t="n">
        <v>29.51</v>
      </c>
      <c r="L165" s="17" t="n">
        <v>13.7</v>
      </c>
      <c r="M165" s="17" t="n">
        <v>5.8</v>
      </c>
      <c r="N165" s="17" t="n"/>
    </row>
    <row r="166">
      <c r="A166" s="15" t="n">
        <v>46187</v>
      </c>
      <c r="B166" s="17" t="n">
        <v>29.7</v>
      </c>
      <c r="C166" s="17" t="n">
        <v>15.5</v>
      </c>
      <c r="D166" s="17" t="n">
        <v>21.7</v>
      </c>
      <c r="E166" s="14" t="n">
        <v>67</v>
      </c>
      <c r="F166" s="14" t="n">
        <v>37</v>
      </c>
      <c r="G166" s="17" t="n">
        <v>1.3</v>
      </c>
      <c r="H166" s="17" t="n">
        <v>16.7</v>
      </c>
      <c r="I166" s="17" t="n">
        <v>14.7</v>
      </c>
      <c r="J166" s="17" t="n">
        <v>1002.2</v>
      </c>
      <c r="K166" s="18" t="n">
        <v>17.23</v>
      </c>
      <c r="L166" s="17" t="n">
        <v>4.5</v>
      </c>
      <c r="M166" s="17" t="n">
        <v>3.5</v>
      </c>
      <c r="N166" s="17" t="n">
        <v>0</v>
      </c>
    </row>
    <row r="167">
      <c r="A167" s="15" t="n">
        <v>46188</v>
      </c>
      <c r="B167" s="17" t="n">
        <v>32.1</v>
      </c>
      <c r="C167" s="17" t="n">
        <v>15.6</v>
      </c>
      <c r="D167" s="17" t="n">
        <v>23.7</v>
      </c>
      <c r="E167" s="14" t="n">
        <v>58.3</v>
      </c>
      <c r="F167" s="14" t="n">
        <v>25</v>
      </c>
      <c r="G167" s="17" t="n">
        <v>1.4</v>
      </c>
      <c r="H167" s="17" t="n">
        <v>15.6</v>
      </c>
      <c r="I167" s="17" t="n">
        <v>13.6</v>
      </c>
      <c r="J167" s="17" t="n">
        <v>1003.5</v>
      </c>
      <c r="K167" s="18" t="n">
        <v>29.25</v>
      </c>
      <c r="L167" s="17" t="n">
        <v>13</v>
      </c>
      <c r="M167" s="17" t="n">
        <v>6.1</v>
      </c>
      <c r="N167" s="17" t="n"/>
    </row>
    <row r="168">
      <c r="A168" s="15" t="n">
        <v>46189</v>
      </c>
      <c r="B168" s="17" t="n">
        <v>33.2</v>
      </c>
      <c r="C168" s="17" t="n">
        <v>16.6</v>
      </c>
      <c r="D168" s="17" t="n">
        <v>24.5</v>
      </c>
      <c r="E168" s="14" t="n">
        <v>61.9</v>
      </c>
      <c r="F168" s="14" t="n">
        <v>31</v>
      </c>
      <c r="G168" s="17" t="n">
        <v>1.6</v>
      </c>
      <c r="H168" s="17" t="n">
        <v>17.9</v>
      </c>
      <c r="I168" s="17" t="n">
        <v>15.7</v>
      </c>
      <c r="J168" s="17" t="n">
        <v>1003.8</v>
      </c>
      <c r="K168" s="18" t="n">
        <v>29.44</v>
      </c>
      <c r="L168" s="17" t="n">
        <v>13</v>
      </c>
      <c r="M168" s="17" t="n">
        <v>6</v>
      </c>
      <c r="N168" s="17" t="n"/>
    </row>
    <row r="169">
      <c r="A169" s="15" t="n">
        <v>46190</v>
      </c>
      <c r="B169" s="17" t="n">
        <v>32.7</v>
      </c>
      <c r="C169" s="17" t="n">
        <v>17.8</v>
      </c>
      <c r="D169" s="17" t="n">
        <v>25.6</v>
      </c>
      <c r="E169" s="14" t="n">
        <v>63.6</v>
      </c>
      <c r="F169" s="14" t="n">
        <v>36</v>
      </c>
      <c r="G169" s="17" t="n">
        <v>1.5</v>
      </c>
      <c r="H169" s="17" t="n">
        <v>19.9</v>
      </c>
      <c r="I169" s="17" t="n">
        <v>17.4</v>
      </c>
      <c r="J169" s="17" t="n">
        <v>1000.7</v>
      </c>
      <c r="K169" s="18" t="n">
        <v>25.26</v>
      </c>
      <c r="L169" s="17" t="n">
        <v>10.4</v>
      </c>
      <c r="M169" s="17" t="n">
        <v>5.3</v>
      </c>
      <c r="N169" s="17" t="n"/>
    </row>
    <row r="170">
      <c r="A170" s="15" t="n">
        <v>46191</v>
      </c>
      <c r="B170" s="17" t="n">
        <v>33.2</v>
      </c>
      <c r="C170" s="17" t="n">
        <v>22.2</v>
      </c>
      <c r="D170" s="17" t="n">
        <v>27.1</v>
      </c>
      <c r="E170" s="14" t="n">
        <v>61.5</v>
      </c>
      <c r="F170" s="14" t="n">
        <v>39</v>
      </c>
      <c r="G170" s="17" t="n">
        <v>1.4</v>
      </c>
      <c r="H170" s="17" t="n">
        <v>21.2</v>
      </c>
      <c r="I170" s="17" t="n">
        <v>18.5</v>
      </c>
      <c r="J170" s="17" t="n">
        <v>998.5</v>
      </c>
      <c r="K170" s="18" t="n">
        <v>27.64</v>
      </c>
      <c r="L170" s="17" t="n">
        <v>12.4</v>
      </c>
      <c r="M170" s="17" t="n">
        <v>5.7</v>
      </c>
      <c r="N170" s="17" t="n"/>
    </row>
    <row r="171">
      <c r="A171" s="15" t="n">
        <v>46192</v>
      </c>
      <c r="B171" s="17" t="n">
        <v>33.7</v>
      </c>
      <c r="C171" s="17" t="n">
        <v>19.7</v>
      </c>
      <c r="D171" s="17" t="n">
        <v>25.5</v>
      </c>
      <c r="E171" s="14" t="n">
        <v>72.8</v>
      </c>
      <c r="F171" s="14" t="n">
        <v>38</v>
      </c>
      <c r="G171" s="17" t="n">
        <v>1.6</v>
      </c>
      <c r="H171" s="17" t="n">
        <v>22.7</v>
      </c>
      <c r="I171" s="17" t="n">
        <v>19.5</v>
      </c>
      <c r="J171" s="17" t="n">
        <v>997.9</v>
      </c>
      <c r="K171" s="18" t="n">
        <v>22.71</v>
      </c>
      <c r="L171" s="17" t="n">
        <v>9.1</v>
      </c>
      <c r="M171" s="17" t="n">
        <v>4.1</v>
      </c>
      <c r="N171" s="17" t="n">
        <v>34.5</v>
      </c>
    </row>
    <row r="172">
      <c r="A172" s="15" t="n">
        <v>46193</v>
      </c>
      <c r="B172" s="17" t="n">
        <v>22.3</v>
      </c>
      <c r="C172" s="17" t="n">
        <v>19.4</v>
      </c>
      <c r="D172" s="17" t="n">
        <v>20.7</v>
      </c>
      <c r="E172" s="14" t="n">
        <v>88</v>
      </c>
      <c r="F172" s="14" t="n">
        <v>75</v>
      </c>
      <c r="G172" s="17" t="n">
        <v>1.9</v>
      </c>
      <c r="H172" s="17" t="n">
        <v>21.4</v>
      </c>
      <c r="I172" s="17" t="n">
        <v>18.6</v>
      </c>
      <c r="J172" s="17" t="n">
        <v>991.1</v>
      </c>
      <c r="K172" s="18" t="n">
        <v>5.06</v>
      </c>
      <c r="L172" s="17" t="n">
        <v>0</v>
      </c>
      <c r="M172" s="17" t="n">
        <v>1.3</v>
      </c>
      <c r="N172" s="17" t="n">
        <v>57.4</v>
      </c>
    </row>
    <row r="173">
      <c r="A173" s="15" t="n">
        <v>46194</v>
      </c>
      <c r="B173" s="17" t="n">
        <v>27.1</v>
      </c>
      <c r="C173" s="17" t="n">
        <v>18.7</v>
      </c>
      <c r="D173" s="17" t="n">
        <v>22.5</v>
      </c>
      <c r="E173" s="14" t="n">
        <v>68.5</v>
      </c>
      <c r="F173" s="14" t="n">
        <v>48</v>
      </c>
      <c r="G173" s="17" t="n">
        <v>1.1</v>
      </c>
      <c r="H173" s="17" t="n">
        <v>18.3</v>
      </c>
      <c r="I173" s="17" t="n">
        <v>16.1</v>
      </c>
      <c r="J173" s="17" t="n">
        <v>999.6</v>
      </c>
      <c r="K173" s="18" t="n">
        <v>19.14</v>
      </c>
      <c r="L173" s="17" t="n">
        <v>3.4</v>
      </c>
      <c r="M173" s="17" t="n">
        <v>3.5</v>
      </c>
      <c r="N173" s="17" t="n"/>
    </row>
    <row r="174">
      <c r="A174" s="15" t="n">
        <v>46195</v>
      </c>
      <c r="B174" s="17" t="n">
        <v>28.3</v>
      </c>
      <c r="C174" s="17" t="n">
        <v>18.5</v>
      </c>
      <c r="D174" s="17" t="n">
        <v>23.3</v>
      </c>
      <c r="E174" s="14" t="n">
        <v>70.59999999999999</v>
      </c>
      <c r="F174" s="14" t="n">
        <v>49</v>
      </c>
      <c r="G174" s="17" t="n">
        <v>1.5</v>
      </c>
      <c r="H174" s="17" t="n">
        <v>19.7</v>
      </c>
      <c r="I174" s="17" t="n">
        <v>17.2</v>
      </c>
      <c r="J174" s="17" t="n">
        <v>999.8</v>
      </c>
      <c r="K174" s="18" t="n">
        <v>20.44</v>
      </c>
      <c r="L174" s="17" t="n">
        <v>5.6</v>
      </c>
      <c r="M174" s="17" t="n">
        <v>4.1</v>
      </c>
      <c r="N174" s="17" t="n"/>
    </row>
    <row r="175">
      <c r="A175" s="15" t="n">
        <v>46196</v>
      </c>
      <c r="B175" s="17" t="n">
        <v>29.5</v>
      </c>
      <c r="C175" s="17" t="n">
        <v>17.2</v>
      </c>
      <c r="D175" s="17" t="n">
        <v>23.4</v>
      </c>
      <c r="E175" s="14" t="n">
        <v>55.6</v>
      </c>
      <c r="F175" s="14" t="n">
        <v>33</v>
      </c>
      <c r="G175" s="17" t="n">
        <v>2.8</v>
      </c>
      <c r="H175" s="17" t="n">
        <v>15.2</v>
      </c>
      <c r="I175" s="17" t="n">
        <v>13.1</v>
      </c>
      <c r="J175" s="17" t="n">
        <v>1001.3</v>
      </c>
      <c r="K175" s="18" t="n">
        <v>30.71</v>
      </c>
      <c r="L175" s="17" t="n">
        <v>13.4</v>
      </c>
      <c r="M175" s="17" t="n">
        <v>6.9</v>
      </c>
      <c r="N175" s="17" t="n"/>
    </row>
    <row r="176">
      <c r="A176" s="15" t="n">
        <v>46197</v>
      </c>
      <c r="B176" s="17" t="n">
        <v>28.1</v>
      </c>
      <c r="C176" s="17" t="n">
        <v>15.1</v>
      </c>
      <c r="D176" s="17" t="n">
        <v>21.9</v>
      </c>
      <c r="E176" s="14" t="n">
        <v>61.9</v>
      </c>
      <c r="F176" s="14" t="n">
        <v>42</v>
      </c>
      <c r="G176" s="17" t="n">
        <v>2.4</v>
      </c>
      <c r="H176" s="17" t="n">
        <v>15.7</v>
      </c>
      <c r="I176" s="17" t="n">
        <v>13.7</v>
      </c>
      <c r="J176" s="17" t="n">
        <v>999.7</v>
      </c>
      <c r="K176" s="18" t="n">
        <v>23.54</v>
      </c>
      <c r="L176" s="17" t="n">
        <v>10.4</v>
      </c>
      <c r="M176" s="17" t="n">
        <v>4.6</v>
      </c>
      <c r="N176" s="17" t="n"/>
    </row>
    <row r="177">
      <c r="A177" s="15" t="n">
        <v>46198</v>
      </c>
      <c r="B177" s="17" t="n">
        <v>21</v>
      </c>
      <c r="C177" s="17" t="n">
        <v>17.1</v>
      </c>
      <c r="D177" s="17" t="n">
        <v>18.9</v>
      </c>
      <c r="E177" s="14" t="n">
        <v>84.8</v>
      </c>
      <c r="F177" s="14" t="n">
        <v>69</v>
      </c>
      <c r="G177" s="17" t="n">
        <v>1.7</v>
      </c>
      <c r="H177" s="17" t="n">
        <v>18.4</v>
      </c>
      <c r="I177" s="17" t="n">
        <v>16.1</v>
      </c>
      <c r="J177" s="17" t="n">
        <v>996.9</v>
      </c>
      <c r="K177" s="18" t="n">
        <v>8.699999999999999</v>
      </c>
      <c r="L177" s="17" t="n">
        <v>0</v>
      </c>
      <c r="M177" s="17" t="n">
        <v>1.7</v>
      </c>
      <c r="N177" s="17" t="n">
        <v>14</v>
      </c>
    </row>
    <row r="178">
      <c r="A178" s="15" t="n">
        <v>46199</v>
      </c>
      <c r="B178" s="17" t="n">
        <v>28.8</v>
      </c>
      <c r="C178" s="17" t="n">
        <v>16.3</v>
      </c>
      <c r="D178" s="17" t="n">
        <v>22</v>
      </c>
      <c r="E178" s="14" t="n">
        <v>68.59999999999999</v>
      </c>
      <c r="F178" s="14" t="n">
        <v>34</v>
      </c>
      <c r="G178" s="17" t="n">
        <v>1.3</v>
      </c>
      <c r="H178" s="17" t="n">
        <v>17.1</v>
      </c>
      <c r="I178" s="17" t="n">
        <v>15</v>
      </c>
      <c r="J178" s="17" t="n">
        <v>996.4</v>
      </c>
      <c r="K178" s="18" t="n">
        <v>28.04</v>
      </c>
      <c r="L178" s="17" t="n">
        <v>12.2</v>
      </c>
      <c r="M178" s="17" t="n">
        <v>5.1</v>
      </c>
      <c r="N178" s="17" t="n"/>
    </row>
    <row r="179">
      <c r="A179" s="15" t="n">
        <v>46200</v>
      </c>
      <c r="B179" s="17" t="n">
        <v>31.9</v>
      </c>
      <c r="C179" s="17" t="n">
        <v>15.9</v>
      </c>
      <c r="D179" s="17" t="n">
        <v>23.4</v>
      </c>
      <c r="E179" s="14" t="n">
        <v>67.59999999999999</v>
      </c>
      <c r="F179" s="14" t="n">
        <v>37</v>
      </c>
      <c r="G179" s="17" t="n">
        <v>1.4</v>
      </c>
      <c r="H179" s="17" t="n">
        <v>18.5</v>
      </c>
      <c r="I179" s="17" t="n">
        <v>16.2</v>
      </c>
      <c r="J179" s="17" t="n">
        <v>996.2</v>
      </c>
      <c r="K179" s="18" t="n">
        <v>25.71</v>
      </c>
      <c r="L179" s="17" t="n">
        <v>11.4</v>
      </c>
      <c r="M179" s="17" t="n">
        <v>5.2</v>
      </c>
      <c r="N179" s="17" t="n"/>
    </row>
    <row r="180">
      <c r="A180" s="15" t="n">
        <v>46201</v>
      </c>
      <c r="B180" s="17" t="n">
        <v>33.3</v>
      </c>
      <c r="C180" s="17" t="n">
        <v>16</v>
      </c>
      <c r="D180" s="17" t="n">
        <v>23.8</v>
      </c>
      <c r="E180" s="14" t="n">
        <v>65.90000000000001</v>
      </c>
      <c r="F180" s="14" t="n">
        <v>23</v>
      </c>
      <c r="G180" s="17" t="n">
        <v>1.2</v>
      </c>
      <c r="H180" s="17" t="n">
        <v>18.3</v>
      </c>
      <c r="I180" s="17" t="n">
        <v>16</v>
      </c>
      <c r="J180" s="17" t="n">
        <v>999.3</v>
      </c>
      <c r="K180" s="18" t="n">
        <v>28.16</v>
      </c>
      <c r="L180" s="17" t="n">
        <v>11</v>
      </c>
      <c r="M180" s="17" t="n">
        <v>5.4</v>
      </c>
      <c r="N180" s="17" t="n"/>
    </row>
    <row r="181">
      <c r="A181" s="15" t="n">
        <v>46202</v>
      </c>
      <c r="B181" s="17" t="n">
        <v>33.7</v>
      </c>
      <c r="C181" s="17" t="n">
        <v>18.2</v>
      </c>
      <c r="D181" s="17" t="n">
        <v>25.5</v>
      </c>
      <c r="E181" s="14" t="n">
        <v>66.40000000000001</v>
      </c>
      <c r="F181" s="14" t="n">
        <v>35</v>
      </c>
      <c r="G181" s="17" t="n">
        <v>1.4</v>
      </c>
      <c r="H181" s="17" t="n">
        <v>20.4</v>
      </c>
      <c r="I181" s="17" t="n">
        <v>17.8</v>
      </c>
      <c r="J181" s="17" t="n">
        <v>1001.8</v>
      </c>
      <c r="K181" s="18" t="n">
        <v>28.96</v>
      </c>
      <c r="L181" s="17" t="n">
        <v>12.6</v>
      </c>
      <c r="M181" s="17" t="n">
        <v>5.7</v>
      </c>
      <c r="N181" s="17" t="n">
        <v>1.7</v>
      </c>
    </row>
    <row r="182">
      <c r="A182" s="15" t="n">
        <v>46203</v>
      </c>
      <c r="B182" s="17" t="n">
        <v>32.1</v>
      </c>
      <c r="C182" s="17" t="n">
        <v>20</v>
      </c>
      <c r="D182" s="17" t="n">
        <v>25.4</v>
      </c>
      <c r="E182" s="14" t="n">
        <v>70</v>
      </c>
      <c r="F182" s="14" t="n">
        <v>41</v>
      </c>
      <c r="G182" s="17" t="n">
        <v>1.6</v>
      </c>
      <c r="H182" s="17" t="n">
        <v>22</v>
      </c>
      <c r="I182" s="17" t="n">
        <v>19</v>
      </c>
      <c r="J182" s="17" t="n">
        <v>1001.5</v>
      </c>
      <c r="K182" s="18" t="n">
        <v>26.8</v>
      </c>
      <c r="L182" s="17" t="n">
        <v>11.7</v>
      </c>
      <c r="M182" s="17" t="n">
        <v>5.2</v>
      </c>
      <c r="N182" s="17" t="n"/>
    </row>
    <row r="183">
      <c r="A183" s="15" t="n">
        <v>46204</v>
      </c>
      <c r="B183" s="17" t="n">
        <v>31.7</v>
      </c>
      <c r="C183" s="17" t="n">
        <v>21.1</v>
      </c>
      <c r="D183" s="17" t="n">
        <v>25.4</v>
      </c>
      <c r="E183" s="14" t="n">
        <v>65.3</v>
      </c>
      <c r="F183" s="14" t="n">
        <v>34</v>
      </c>
      <c r="G183" s="17" t="n">
        <v>2.1</v>
      </c>
      <c r="H183" s="17" t="n">
        <v>20.5</v>
      </c>
      <c r="I183" s="17" t="n">
        <v>17.9</v>
      </c>
      <c r="J183" s="17" t="n">
        <v>997.9</v>
      </c>
      <c r="K183" s="18" t="n">
        <v>22.91</v>
      </c>
      <c r="L183" s="17" t="n">
        <v>7.5</v>
      </c>
      <c r="M183" s="17" t="n">
        <v>5.2</v>
      </c>
      <c r="N183" s="17" t="n">
        <v>0</v>
      </c>
    </row>
    <row r="184">
      <c r="A184" s="15" t="n">
        <v>46205</v>
      </c>
      <c r="B184" s="17" t="n">
        <v>25.7</v>
      </c>
      <c r="C184" s="17" t="n">
        <v>19.6</v>
      </c>
      <c r="D184" s="17" t="n">
        <v>22.2</v>
      </c>
      <c r="E184" s="14" t="n">
        <v>80.90000000000001</v>
      </c>
      <c r="F184" s="14" t="n">
        <v>65</v>
      </c>
      <c r="G184" s="17" t="n">
        <v>1.4</v>
      </c>
      <c r="H184" s="17" t="n">
        <v>21.4</v>
      </c>
      <c r="I184" s="17" t="n">
        <v>18.6</v>
      </c>
      <c r="J184" s="17" t="n">
        <v>1001.2</v>
      </c>
      <c r="K184" s="18" t="n">
        <v>8.949999999999999</v>
      </c>
      <c r="L184" s="17" t="n">
        <v>0</v>
      </c>
      <c r="M184" s="17" t="n">
        <v>1.8</v>
      </c>
      <c r="N184" s="17" t="n">
        <v>0.8</v>
      </c>
    </row>
    <row r="185">
      <c r="A185" s="15" t="n">
        <v>46206</v>
      </c>
      <c r="B185" s="17" t="n">
        <v>29.1</v>
      </c>
      <c r="C185" s="17" t="n">
        <v>20</v>
      </c>
      <c r="D185" s="17" t="n">
        <v>24.2</v>
      </c>
      <c r="E185" s="14" t="n">
        <v>77.8</v>
      </c>
      <c r="F185" s="14" t="n">
        <v>57</v>
      </c>
      <c r="G185" s="17" t="n">
        <v>1.2</v>
      </c>
      <c r="H185" s="17" t="n">
        <v>23.1</v>
      </c>
      <c r="I185" s="17" t="n">
        <v>19.8</v>
      </c>
      <c r="J185" s="17" t="n">
        <v>1001.2</v>
      </c>
      <c r="K185" s="18" t="n">
        <v>18.14</v>
      </c>
      <c r="L185" s="17" t="n">
        <v>2.8</v>
      </c>
      <c r="M185" s="17" t="n">
        <v>3.3</v>
      </c>
      <c r="N185" s="17" t="n"/>
    </row>
    <row r="186">
      <c r="A186" s="15" t="n">
        <v>46207</v>
      </c>
      <c r="B186" s="17" t="n">
        <v>29.9</v>
      </c>
      <c r="C186" s="17" t="n">
        <v>21.2</v>
      </c>
      <c r="D186" s="17" t="n">
        <v>25.4</v>
      </c>
      <c r="E186" s="14" t="n">
        <v>77.3</v>
      </c>
      <c r="F186" s="14" t="n">
        <v>57</v>
      </c>
      <c r="G186" s="17" t="n">
        <v>1.1</v>
      </c>
      <c r="H186" s="17" t="n">
        <v>24.6</v>
      </c>
      <c r="I186" s="17" t="n">
        <v>20.8</v>
      </c>
      <c r="J186" s="17" t="n">
        <v>997.4</v>
      </c>
      <c r="K186" s="18" t="n">
        <v>16.37</v>
      </c>
      <c r="L186" s="17" t="n">
        <v>2.8</v>
      </c>
      <c r="M186" s="17" t="n">
        <v>3.3</v>
      </c>
      <c r="N186" s="17" t="n"/>
    </row>
    <row r="187">
      <c r="A187" s="15" t="n">
        <v>46208</v>
      </c>
      <c r="B187" s="17" t="n">
        <v>28.7</v>
      </c>
      <c r="C187" s="17" t="n">
        <v>21.7</v>
      </c>
      <c r="D187" s="17" t="n">
        <v>25.5</v>
      </c>
      <c r="E187" s="14" t="n">
        <v>81.40000000000001</v>
      </c>
      <c r="F187" s="14" t="n">
        <v>66</v>
      </c>
      <c r="G187" s="17" t="n">
        <v>1.2</v>
      </c>
      <c r="H187" s="17" t="n">
        <v>26.4</v>
      </c>
      <c r="I187" s="17" t="n">
        <v>21.9</v>
      </c>
      <c r="J187" s="17" t="n">
        <v>995</v>
      </c>
      <c r="K187" s="18" t="n">
        <v>15.33</v>
      </c>
      <c r="L187" s="17" t="n">
        <v>4.1</v>
      </c>
      <c r="M187" s="17" t="n">
        <v>2.6</v>
      </c>
      <c r="N187" s="17" t="n">
        <v>7.5</v>
      </c>
    </row>
    <row r="188">
      <c r="A188" s="15" t="n">
        <v>46209</v>
      </c>
      <c r="B188" s="17" t="n">
        <v>29.1</v>
      </c>
      <c r="C188" s="17" t="n">
        <v>23.1</v>
      </c>
      <c r="D188" s="17" t="n">
        <v>25.8</v>
      </c>
      <c r="E188" s="14" t="n">
        <v>85.3</v>
      </c>
      <c r="F188" s="14" t="n">
        <v>71</v>
      </c>
      <c r="G188" s="17" t="n">
        <v>0.9</v>
      </c>
      <c r="H188" s="17" t="n">
        <v>28.1</v>
      </c>
      <c r="I188" s="17" t="n">
        <v>23</v>
      </c>
      <c r="J188" s="17" t="n">
        <v>995.7</v>
      </c>
      <c r="K188" s="18" t="n">
        <v>9.59</v>
      </c>
      <c r="L188" s="17" t="n">
        <v>1.3</v>
      </c>
      <c r="M188" s="17" t="n">
        <v>1.7</v>
      </c>
      <c r="N188" s="17" t="n">
        <v>2.5</v>
      </c>
    </row>
    <row r="189">
      <c r="A189" s="15" t="n">
        <v>46210</v>
      </c>
      <c r="B189" s="17" t="n">
        <v>32.4</v>
      </c>
      <c r="C189" s="17" t="n">
        <v>22.8</v>
      </c>
      <c r="D189" s="17" t="n">
        <v>26.7</v>
      </c>
      <c r="E189" s="14" t="n">
        <v>81.09999999999999</v>
      </c>
      <c r="F189" s="14" t="n">
        <v>55</v>
      </c>
      <c r="G189" s="17" t="n">
        <v>1</v>
      </c>
      <c r="H189" s="17" t="n">
        <v>27.9</v>
      </c>
      <c r="I189" s="17" t="n">
        <v>22.9</v>
      </c>
      <c r="J189" s="17" t="n">
        <v>996.8</v>
      </c>
      <c r="K189" s="18" t="n">
        <v>17.32</v>
      </c>
      <c r="L189" s="17" t="n">
        <v>3.4</v>
      </c>
      <c r="M189" s="17" t="n">
        <v>3.2</v>
      </c>
      <c r="N189" s="17" t="n">
        <v>3.8</v>
      </c>
    </row>
    <row r="190">
      <c r="A190" s="15" t="n">
        <v>46211</v>
      </c>
      <c r="B190" s="17" t="n">
        <v>27</v>
      </c>
      <c r="C190" s="17" t="n">
        <v>22.5</v>
      </c>
      <c r="D190" s="17" t="n">
        <v>24.2</v>
      </c>
      <c r="E190" s="14" t="n">
        <v>88</v>
      </c>
      <c r="F190" s="14" t="n">
        <v>75</v>
      </c>
      <c r="G190" s="17" t="n">
        <v>1.2</v>
      </c>
      <c r="H190" s="17" t="n">
        <v>26.5</v>
      </c>
      <c r="I190" s="17" t="n">
        <v>22</v>
      </c>
      <c r="J190" s="17" t="n">
        <v>996</v>
      </c>
      <c r="K190" s="18" t="n">
        <v>6.74</v>
      </c>
      <c r="L190" s="17" t="n">
        <v>0.5</v>
      </c>
      <c r="M190" s="17" t="n">
        <v>1.3</v>
      </c>
      <c r="N190" s="17" t="n">
        <v>22.8</v>
      </c>
    </row>
    <row r="191">
      <c r="A191" s="15" t="n">
        <v>46212</v>
      </c>
      <c r="B191" s="17" t="n">
        <v>24.5</v>
      </c>
      <c r="C191" s="17" t="n">
        <v>22.4</v>
      </c>
      <c r="D191" s="17" t="n">
        <v>23.2</v>
      </c>
      <c r="E191" s="14" t="n">
        <v>89.59999999999999</v>
      </c>
      <c r="F191" s="14" t="n">
        <v>79</v>
      </c>
      <c r="G191" s="17" t="n">
        <v>0.9</v>
      </c>
      <c r="H191" s="17" t="n">
        <v>25.4</v>
      </c>
      <c r="I191" s="17" t="n">
        <v>21.4</v>
      </c>
      <c r="J191" s="17" t="n">
        <v>999.7</v>
      </c>
      <c r="K191" s="18" t="n">
        <v>6.19</v>
      </c>
      <c r="L191" s="17" t="n">
        <v>0.6</v>
      </c>
      <c r="M191" s="17" t="n">
        <v>1.2</v>
      </c>
      <c r="N191" s="17" t="n">
        <v>8.800000000000001</v>
      </c>
    </row>
    <row r="192">
      <c r="A192" s="15" t="n">
        <v>46213</v>
      </c>
      <c r="B192" s="17" t="n">
        <v>27</v>
      </c>
      <c r="C192" s="17" t="n">
        <v>22</v>
      </c>
      <c r="D192" s="17" t="n">
        <v>24.4</v>
      </c>
      <c r="E192" s="14" t="n">
        <v>92.8</v>
      </c>
      <c r="F192" s="14" t="n">
        <v>85</v>
      </c>
      <c r="G192" s="17" t="n">
        <v>0.6</v>
      </c>
      <c r="H192" s="17" t="n">
        <v>28.4</v>
      </c>
      <c r="I192" s="17" t="n">
        <v>23.1</v>
      </c>
      <c r="J192" s="17" t="n">
        <v>1001.5</v>
      </c>
      <c r="K192" s="18" t="n">
        <v>6.36</v>
      </c>
      <c r="L192" s="17" t="n">
        <v>0.1</v>
      </c>
      <c r="M192" s="17" t="n">
        <v>1.4</v>
      </c>
      <c r="N192" s="17" t="n">
        <v>39.5</v>
      </c>
    </row>
    <row r="193">
      <c r="A193" s="15" t="n">
        <v>46214</v>
      </c>
      <c r="B193" s="17" t="n">
        <v>33.4</v>
      </c>
      <c r="C193" s="17" t="n">
        <v>23.4</v>
      </c>
      <c r="D193" s="17" t="n">
        <v>27.7</v>
      </c>
      <c r="E193" s="14" t="n">
        <v>78.09999999999999</v>
      </c>
      <c r="F193" s="14" t="n">
        <v>50</v>
      </c>
      <c r="G193" s="17" t="n">
        <v>1.1</v>
      </c>
      <c r="H193" s="17" t="n">
        <v>28.1</v>
      </c>
      <c r="I193" s="17" t="n">
        <v>23</v>
      </c>
      <c r="J193" s="17" t="n">
        <v>1001.9</v>
      </c>
      <c r="K193" s="18" t="n">
        <v>22.51</v>
      </c>
      <c r="L193" s="17" t="n">
        <v>8.199999999999999</v>
      </c>
      <c r="M193" s="17" t="n">
        <v>4.2</v>
      </c>
      <c r="N193" s="17" t="n"/>
    </row>
    <row r="194">
      <c r="A194" s="15" t="n">
        <v>46215</v>
      </c>
      <c r="B194" s="17" t="n">
        <v>34.5</v>
      </c>
      <c r="C194" s="17" t="n">
        <v>23.3</v>
      </c>
      <c r="D194" s="17" t="n">
        <v>28.7</v>
      </c>
      <c r="E194" s="14" t="n">
        <v>76.3</v>
      </c>
      <c r="F194" s="14" t="n">
        <v>52</v>
      </c>
      <c r="G194" s="17" t="n">
        <v>1.3</v>
      </c>
      <c r="H194" s="17" t="n">
        <v>29.2</v>
      </c>
      <c r="I194" s="17" t="n">
        <v>23.6</v>
      </c>
      <c r="J194" s="17" t="n">
        <v>1001.1</v>
      </c>
      <c r="K194" s="18" t="n">
        <v>23.63</v>
      </c>
      <c r="L194" s="17" t="n">
        <v>8.300000000000001</v>
      </c>
      <c r="M194" s="17" t="n">
        <v>4.6</v>
      </c>
      <c r="N194" s="17" t="n"/>
    </row>
    <row r="195">
      <c r="A195" s="15" t="n">
        <v>46216</v>
      </c>
      <c r="B195" s="17" t="n">
        <v>34</v>
      </c>
      <c r="C195" s="17" t="n">
        <v>24</v>
      </c>
      <c r="D195" s="17" t="n">
        <v>28.3</v>
      </c>
      <c r="E195" s="14" t="n">
        <v>77.5</v>
      </c>
      <c r="F195" s="14" t="n">
        <v>51</v>
      </c>
      <c r="G195" s="17" t="n">
        <v>1.2</v>
      </c>
      <c r="H195" s="17" t="n">
        <v>29.3</v>
      </c>
      <c r="I195" s="17" t="n">
        <v>23.7</v>
      </c>
      <c r="J195" s="17" t="n">
        <v>999.4</v>
      </c>
      <c r="K195" s="18" t="n">
        <v>17.82</v>
      </c>
      <c r="L195" s="17" t="n">
        <v>4.9</v>
      </c>
      <c r="M195" s="17" t="n">
        <v>3.6</v>
      </c>
      <c r="N195" s="17" t="n"/>
    </row>
    <row r="196">
      <c r="A196" s="15" t="n">
        <v>46217</v>
      </c>
      <c r="B196" s="17" t="n">
        <v>32.5</v>
      </c>
      <c r="C196" s="17" t="n">
        <v>25.2</v>
      </c>
      <c r="D196" s="17" t="n">
        <v>28</v>
      </c>
      <c r="E196" s="14" t="n">
        <v>79.09999999999999</v>
      </c>
      <c r="F196" s="14" t="n">
        <v>58</v>
      </c>
      <c r="G196" s="17" t="n">
        <v>2</v>
      </c>
      <c r="H196" s="17" t="n">
        <v>29.4</v>
      </c>
      <c r="I196" s="17" t="n">
        <v>23.8</v>
      </c>
      <c r="J196" s="17" t="n">
        <v>993.4</v>
      </c>
      <c r="K196" s="18" t="n">
        <v>12.99</v>
      </c>
      <c r="L196" s="17" t="n">
        <v>1.4</v>
      </c>
      <c r="M196" s="17" t="n">
        <v>3.1</v>
      </c>
      <c r="N196" s="17" t="n">
        <v>32.9</v>
      </c>
    </row>
    <row r="197">
      <c r="A197" s="15" t="n">
        <v>46218</v>
      </c>
      <c r="B197" s="17" t="n">
        <v>27.5</v>
      </c>
      <c r="C197" s="17" t="n">
        <v>22.9</v>
      </c>
      <c r="D197" s="17" t="n">
        <v>25.7</v>
      </c>
      <c r="E197" s="14" t="n">
        <v>84.09999999999999</v>
      </c>
      <c r="F197" s="14" t="n">
        <v>72</v>
      </c>
      <c r="G197" s="17" t="n">
        <v>2</v>
      </c>
      <c r="H197" s="17" t="n">
        <v>27.7</v>
      </c>
      <c r="I197" s="17" t="n">
        <v>22.7</v>
      </c>
      <c r="J197" s="17" t="n">
        <v>990.5</v>
      </c>
      <c r="K197" s="18" t="n">
        <v>10.84</v>
      </c>
      <c r="L197" s="17" t="n">
        <v>0.7</v>
      </c>
      <c r="M197" s="17" t="n">
        <v>2.1</v>
      </c>
      <c r="N197" s="17" t="n">
        <v>12.9</v>
      </c>
    </row>
    <row r="198">
      <c r="A198" s="15" t="n">
        <v>46219</v>
      </c>
      <c r="B198" s="17" t="n">
        <v>31.1</v>
      </c>
      <c r="C198" s="17" t="n">
        <v>21.9</v>
      </c>
      <c r="D198" s="17" t="n">
        <v>26.1</v>
      </c>
      <c r="E198" s="14" t="n">
        <v>78.90000000000001</v>
      </c>
      <c r="F198" s="14" t="n">
        <v>59</v>
      </c>
      <c r="G198" s="17" t="n">
        <v>1.1</v>
      </c>
      <c r="H198" s="17" t="n">
        <v>26.2</v>
      </c>
      <c r="I198" s="17" t="n">
        <v>21.8</v>
      </c>
      <c r="J198" s="17" t="n">
        <v>993.8</v>
      </c>
      <c r="K198" s="18" t="n">
        <v>20.26</v>
      </c>
      <c r="L198" s="17" t="n">
        <v>5.8</v>
      </c>
      <c r="M198" s="17" t="n">
        <v>3.5</v>
      </c>
      <c r="N198" s="17" t="n"/>
    </row>
    <row r="199">
      <c r="A199" s="15" t="n">
        <v>46220</v>
      </c>
      <c r="B199" s="17" t="n">
        <v>32.2</v>
      </c>
      <c r="C199" s="17" t="n">
        <v>22.3</v>
      </c>
      <c r="D199" s="17" t="n">
        <v>26.5</v>
      </c>
      <c r="E199" s="14" t="n">
        <v>76.90000000000001</v>
      </c>
      <c r="F199" s="14" t="n">
        <v>56</v>
      </c>
      <c r="G199" s="17" t="n">
        <v>1.2</v>
      </c>
      <c r="H199" s="17" t="n">
        <v>26.1</v>
      </c>
      <c r="I199" s="17" t="n">
        <v>21.8</v>
      </c>
      <c r="J199" s="17" t="n">
        <v>992.4</v>
      </c>
      <c r="K199" s="18" t="n">
        <v>16.32</v>
      </c>
      <c r="L199" s="17" t="n">
        <v>2.5</v>
      </c>
      <c r="M199" s="17" t="n">
        <v>3.1</v>
      </c>
      <c r="N199" s="17" t="n">
        <v>0</v>
      </c>
    </row>
    <row r="200">
      <c r="A200" s="15" t="n">
        <v>46221</v>
      </c>
      <c r="B200" s="17" t="n">
        <v>26.8</v>
      </c>
      <c r="C200" s="17" t="n">
        <v>18.6</v>
      </c>
      <c r="D200" s="17" t="n">
        <v>22.1</v>
      </c>
      <c r="E200" s="14" t="n">
        <v>87.5</v>
      </c>
      <c r="F200" s="14" t="n">
        <v>70</v>
      </c>
      <c r="G200" s="17" t="n">
        <v>1.7</v>
      </c>
      <c r="H200" s="17" t="n">
        <v>23.2</v>
      </c>
      <c r="I200" s="17" t="n">
        <v>19.8</v>
      </c>
      <c r="J200" s="17" t="n">
        <v>991.7</v>
      </c>
      <c r="K200" s="18" t="n">
        <v>8.1</v>
      </c>
      <c r="L200" s="17" t="n">
        <v>0.6</v>
      </c>
      <c r="M200" s="17" t="n">
        <v>1.7</v>
      </c>
      <c r="N200" s="17" t="n">
        <v>108.4</v>
      </c>
    </row>
    <row r="201">
      <c r="A201" s="15" t="n">
        <v>46222</v>
      </c>
      <c r="B201" s="17" t="n">
        <v>31.3</v>
      </c>
      <c r="C201" s="17" t="n">
        <v>21.8</v>
      </c>
      <c r="D201" s="17" t="n">
        <v>25.7</v>
      </c>
      <c r="E201" s="14" t="n">
        <v>78.8</v>
      </c>
      <c r="F201" s="14" t="n">
        <v>52</v>
      </c>
      <c r="G201" s="17" t="n">
        <v>1.4</v>
      </c>
      <c r="H201" s="17" t="n">
        <v>25.5</v>
      </c>
      <c r="I201" s="17" t="n">
        <v>21.4</v>
      </c>
      <c r="J201" s="17" t="n">
        <v>994.6</v>
      </c>
      <c r="K201" s="18" t="n">
        <v>20.4</v>
      </c>
      <c r="L201" s="17" t="n">
        <v>5.1</v>
      </c>
      <c r="M201" s="17" t="n">
        <v>3.8</v>
      </c>
      <c r="N201" s="17" t="n">
        <v>0.2</v>
      </c>
    </row>
    <row r="202">
      <c r="A202" s="15" t="n">
        <v>46223</v>
      </c>
      <c r="B202" s="17" t="n">
        <v>25.3</v>
      </c>
      <c r="C202" s="17" t="n">
        <v>22.7</v>
      </c>
      <c r="D202" s="17" t="n">
        <v>23.6</v>
      </c>
      <c r="E202" s="14" t="n">
        <v>90.59999999999999</v>
      </c>
      <c r="F202" s="14" t="n">
        <v>80</v>
      </c>
      <c r="G202" s="17" t="n">
        <v>0.8</v>
      </c>
      <c r="H202" s="17" t="n">
        <v>26.3</v>
      </c>
      <c r="I202" s="17" t="n">
        <v>21.9</v>
      </c>
      <c r="J202" s="17" t="n">
        <v>997.6</v>
      </c>
      <c r="K202" s="18" t="n">
        <v>5.68</v>
      </c>
      <c r="L202" s="17" t="n">
        <v>0</v>
      </c>
      <c r="M202" s="17" t="n">
        <v>1.1</v>
      </c>
      <c r="N202" s="17" t="n">
        <v>13.3</v>
      </c>
    </row>
    <row r="203">
      <c r="A203" s="15" t="n">
        <v>46224</v>
      </c>
      <c r="B203" s="17" t="n">
        <v>26.5</v>
      </c>
      <c r="C203" s="17" t="n">
        <v>22.9</v>
      </c>
      <c r="D203" s="17" t="n">
        <v>24.8</v>
      </c>
      <c r="E203" s="14" t="n">
        <v>93.59999999999999</v>
      </c>
      <c r="F203" s="14" t="n">
        <v>86</v>
      </c>
      <c r="G203" s="17" t="n">
        <v>0.6</v>
      </c>
      <c r="H203" s="17" t="n">
        <v>29.3</v>
      </c>
      <c r="I203" s="17" t="n">
        <v>23.7</v>
      </c>
      <c r="J203" s="17" t="n">
        <v>996.8</v>
      </c>
      <c r="K203" s="18" t="n">
        <v>3.48</v>
      </c>
      <c r="L203" s="17" t="n">
        <v>0</v>
      </c>
      <c r="M203" s="17" t="n">
        <v>0.9</v>
      </c>
      <c r="N203" s="17" t="n">
        <v>21.4</v>
      </c>
    </row>
    <row r="204">
      <c r="A204" s="15" t="n">
        <v>46225</v>
      </c>
      <c r="B204" s="17" t="n">
        <v>29.7</v>
      </c>
      <c r="C204" s="17" t="n">
        <v>23.5</v>
      </c>
      <c r="D204" s="17" t="n">
        <v>26.4</v>
      </c>
      <c r="E204" s="14" t="n">
        <v>88.40000000000001</v>
      </c>
      <c r="F204" s="14" t="n">
        <v>74</v>
      </c>
      <c r="G204" s="17" t="n">
        <v>0.7</v>
      </c>
      <c r="H204" s="17" t="n">
        <v>30.2</v>
      </c>
      <c r="I204" s="17" t="n">
        <v>24.2</v>
      </c>
      <c r="J204" s="17" t="n">
        <v>998.4</v>
      </c>
      <c r="K204" s="18" t="n">
        <v>11.49</v>
      </c>
      <c r="L204" s="17" t="n">
        <v>0.6</v>
      </c>
      <c r="M204" s="17" t="n">
        <v>1.9</v>
      </c>
      <c r="N204" s="17" t="n">
        <v>5.2</v>
      </c>
    </row>
    <row r="205">
      <c r="A205" s="15" t="n">
        <v>46226</v>
      </c>
      <c r="B205" s="17" t="n">
        <v>27.4</v>
      </c>
      <c r="C205" s="17" t="n">
        <v>23.8</v>
      </c>
      <c r="D205" s="17" t="n">
        <v>25.1</v>
      </c>
      <c r="E205" s="14" t="n">
        <v>92.59999999999999</v>
      </c>
      <c r="F205" s="14" t="n">
        <v>87</v>
      </c>
      <c r="G205" s="17" t="n">
        <v>1.1</v>
      </c>
      <c r="H205" s="17" t="n">
        <v>29.4</v>
      </c>
      <c r="I205" s="17" t="n">
        <v>23.8</v>
      </c>
      <c r="J205" s="17" t="n">
        <v>998.2</v>
      </c>
      <c r="K205" s="18" t="n">
        <v>8.220000000000001</v>
      </c>
      <c r="L205" s="17" t="n">
        <v>0.3</v>
      </c>
      <c r="M205" s="17" t="n">
        <v>1.4</v>
      </c>
      <c r="N205" s="17" t="n">
        <v>39.3</v>
      </c>
    </row>
    <row r="206">
      <c r="A206" s="15" t="n">
        <v>46227</v>
      </c>
      <c r="B206" s="17" t="n">
        <v>33</v>
      </c>
      <c r="C206" s="17" t="n">
        <v>23.1</v>
      </c>
      <c r="D206" s="17" t="n">
        <v>27.2</v>
      </c>
      <c r="E206" s="14" t="n">
        <v>81.5</v>
      </c>
      <c r="F206" s="14" t="n">
        <v>56</v>
      </c>
      <c r="G206" s="17" t="n">
        <v>1.1</v>
      </c>
      <c r="H206" s="17" t="n">
        <v>28.8</v>
      </c>
      <c r="I206" s="17" t="n">
        <v>23.4</v>
      </c>
      <c r="J206" s="17" t="n">
        <v>1000.8</v>
      </c>
      <c r="K206" s="18" t="n">
        <v>19.57</v>
      </c>
      <c r="L206" s="17" t="n">
        <v>6.1</v>
      </c>
      <c r="M206" s="17" t="n">
        <v>3.9</v>
      </c>
      <c r="N206" s="17" t="n"/>
    </row>
    <row r="207">
      <c r="A207" s="15" t="n">
        <v>46228</v>
      </c>
      <c r="B207" s="17" t="n">
        <v>31.8</v>
      </c>
      <c r="C207" s="17" t="n">
        <v>23.5</v>
      </c>
      <c r="D207" s="17" t="n">
        <v>27.5</v>
      </c>
      <c r="E207" s="14" t="n">
        <v>81.3</v>
      </c>
      <c r="F207" s="14" t="n">
        <v>61</v>
      </c>
      <c r="G207" s="17" t="n">
        <v>1.1</v>
      </c>
      <c r="H207" s="17" t="n">
        <v>29.3</v>
      </c>
      <c r="I207" s="17" t="n">
        <v>23.7</v>
      </c>
      <c r="J207" s="17" t="n">
        <v>1001.4</v>
      </c>
      <c r="K207" s="18" t="n">
        <v>17.43</v>
      </c>
      <c r="L207" s="17" t="n">
        <v>3.9</v>
      </c>
      <c r="M207" s="17" t="n">
        <v>3.2</v>
      </c>
      <c r="N207" s="17" t="n">
        <v>0.2</v>
      </c>
    </row>
    <row r="208">
      <c r="A208" s="15" t="n">
        <v>46229</v>
      </c>
      <c r="B208" s="17" t="n">
        <v>33.7</v>
      </c>
      <c r="C208" s="17" t="n">
        <v>23.9</v>
      </c>
      <c r="D208" s="17" t="n">
        <v>27.2</v>
      </c>
      <c r="E208" s="14" t="n">
        <v>83.40000000000001</v>
      </c>
      <c r="F208" s="14" t="n">
        <v>57</v>
      </c>
      <c r="G208" s="17" t="n">
        <v>1.5</v>
      </c>
      <c r="H208" s="17" t="n">
        <v>29.6</v>
      </c>
      <c r="I208" s="17" t="n">
        <v>23.9</v>
      </c>
      <c r="J208" s="17" t="n">
        <v>1000.8</v>
      </c>
      <c r="K208" s="18" t="n">
        <v>23.26</v>
      </c>
      <c r="L208" s="17" t="n">
        <v>7.2</v>
      </c>
      <c r="M208" s="17" t="n">
        <v>4.5</v>
      </c>
      <c r="N208" s="17" t="n">
        <v>0.3</v>
      </c>
    </row>
    <row r="209">
      <c r="A209" s="15" t="n">
        <v>46230</v>
      </c>
      <c r="B209" s="17" t="n">
        <v>31.4</v>
      </c>
      <c r="C209" s="17" t="n">
        <v>24.1</v>
      </c>
      <c r="D209" s="17" t="n">
        <v>26.4</v>
      </c>
      <c r="E209" s="14" t="n">
        <v>86.3</v>
      </c>
      <c r="F209" s="14" t="n">
        <v>65</v>
      </c>
      <c r="G209" s="17" t="n">
        <v>1</v>
      </c>
      <c r="H209" s="17" t="n">
        <v>29.4</v>
      </c>
      <c r="I209" s="17" t="n">
        <v>23.7</v>
      </c>
      <c r="J209" s="17" t="n">
        <v>1002.5</v>
      </c>
      <c r="K209" s="18" t="n">
        <v>12.96</v>
      </c>
      <c r="L209" s="17" t="n">
        <v>2.7</v>
      </c>
      <c r="M209" s="17" t="n">
        <v>2.4</v>
      </c>
      <c r="N209" s="17" t="n">
        <v>3.3</v>
      </c>
    </row>
    <row r="210">
      <c r="A210" s="15" t="n">
        <v>46231</v>
      </c>
      <c r="B210" s="17" t="n">
        <v>33.6</v>
      </c>
      <c r="C210" s="17" t="n">
        <v>24.3</v>
      </c>
      <c r="D210" s="17" t="n">
        <v>28.3</v>
      </c>
      <c r="E210" s="14" t="n">
        <v>78.40000000000001</v>
      </c>
      <c r="F210" s="14" t="n">
        <v>51</v>
      </c>
      <c r="G210" s="17" t="n">
        <v>1.3</v>
      </c>
      <c r="H210" s="17" t="n">
        <v>29.5</v>
      </c>
      <c r="I210" s="17" t="n">
        <v>23.8</v>
      </c>
      <c r="J210" s="17" t="n">
        <v>1002.9</v>
      </c>
      <c r="K210" s="18" t="n">
        <v>18.64</v>
      </c>
      <c r="L210" s="17" t="n">
        <v>5.2</v>
      </c>
      <c r="M210" s="17" t="n">
        <v>3.8</v>
      </c>
      <c r="N210" s="17" t="n">
        <v>0</v>
      </c>
    </row>
    <row r="211">
      <c r="A211" s="15" t="n">
        <v>46232</v>
      </c>
      <c r="B211" s="17" t="n">
        <v>33.7</v>
      </c>
      <c r="C211" s="17" t="n">
        <v>23.5</v>
      </c>
      <c r="D211" s="17" t="n">
        <v>28.8</v>
      </c>
      <c r="E211" s="14" t="n">
        <v>72.59999999999999</v>
      </c>
      <c r="F211" s="14" t="n">
        <v>49</v>
      </c>
      <c r="G211" s="17" t="n">
        <v>1.7</v>
      </c>
      <c r="H211" s="17" t="n">
        <v>27.9</v>
      </c>
      <c r="I211" s="17" t="n">
        <v>22.9</v>
      </c>
      <c r="J211" s="17" t="n">
        <v>1000.8</v>
      </c>
      <c r="K211" s="18" t="n">
        <v>25.32</v>
      </c>
      <c r="L211" s="17" t="n">
        <v>10.3</v>
      </c>
      <c r="M211" s="17" t="n">
        <v>5.3</v>
      </c>
      <c r="N211" s="17" t="n"/>
    </row>
    <row r="212">
      <c r="A212" s="15" t="n">
        <v>46233</v>
      </c>
      <c r="B212" s="17" t="n">
        <v>32.3</v>
      </c>
      <c r="C212" s="17" t="n">
        <v>23.1</v>
      </c>
      <c r="D212" s="17" t="n">
        <v>28</v>
      </c>
      <c r="E212" s="14" t="n">
        <v>75.3</v>
      </c>
      <c r="F212" s="14" t="n">
        <v>60</v>
      </c>
      <c r="G212" s="17" t="n">
        <v>1.5</v>
      </c>
      <c r="H212" s="17" t="n">
        <v>28</v>
      </c>
      <c r="I212" s="17" t="n">
        <v>22.9</v>
      </c>
      <c r="J212" s="17" t="n">
        <v>999.3</v>
      </c>
      <c r="K212" s="18" t="n">
        <v>18.6</v>
      </c>
      <c r="L212" s="17" t="n">
        <v>6.5</v>
      </c>
      <c r="M212" s="17" t="n">
        <v>3.5</v>
      </c>
      <c r="N212" s="17" t="n"/>
    </row>
    <row r="213">
      <c r="A213" s="15" t="n">
        <v>46234</v>
      </c>
      <c r="B213" s="17" t="n">
        <v>33.4</v>
      </c>
      <c r="C213" s="17" t="n">
        <v>23.3</v>
      </c>
      <c r="D213" s="17" t="n">
        <v>28.4</v>
      </c>
      <c r="E213" s="14" t="n">
        <v>76.40000000000001</v>
      </c>
      <c r="F213" s="14" t="n">
        <v>58</v>
      </c>
      <c r="G213" s="17" t="n">
        <v>1.4</v>
      </c>
      <c r="H213" s="17" t="n">
        <v>29</v>
      </c>
      <c r="I213" s="17" t="n">
        <v>23.5</v>
      </c>
      <c r="J213" s="17" t="n">
        <v>997.6</v>
      </c>
      <c r="K213" s="18" t="n">
        <v>19.12</v>
      </c>
      <c r="L213" s="17" t="n">
        <v>5.1</v>
      </c>
      <c r="M213" s="17" t="n">
        <v>4</v>
      </c>
      <c r="N213" s="17" t="n"/>
    </row>
    <row r="214">
      <c r="A214" s="15" t="n">
        <v>46235</v>
      </c>
      <c r="B214" s="17" t="n">
        <v>34</v>
      </c>
      <c r="C214" s="17" t="n">
        <v>25.6</v>
      </c>
      <c r="D214" s="17" t="n">
        <v>29.7</v>
      </c>
      <c r="E214" s="14" t="n">
        <v>74.3</v>
      </c>
      <c r="F214" s="14" t="n">
        <v>58</v>
      </c>
      <c r="G214" s="17" t="n">
        <v>1.8</v>
      </c>
      <c r="H214" s="17" t="n">
        <v>30.5</v>
      </c>
      <c r="I214" s="17" t="n">
        <v>24.4</v>
      </c>
      <c r="J214" s="17" t="n">
        <v>996.9</v>
      </c>
      <c r="K214" s="18" t="n">
        <v>20.18</v>
      </c>
      <c r="L214" s="17" t="n">
        <v>7.5</v>
      </c>
      <c r="M214" s="17" t="n">
        <v>4.1</v>
      </c>
      <c r="N214" s="17" t="n"/>
    </row>
    <row r="215">
      <c r="A215" s="15" t="n">
        <v>46236</v>
      </c>
      <c r="B215" s="17" t="n">
        <v>36.1</v>
      </c>
      <c r="C215" s="17" t="n">
        <v>23.8</v>
      </c>
      <c r="D215" s="17" t="n">
        <v>29.4</v>
      </c>
      <c r="E215" s="14" t="n">
        <v>74.59999999999999</v>
      </c>
      <c r="F215" s="14" t="n">
        <v>47</v>
      </c>
      <c r="G215" s="17" t="n">
        <v>1.2</v>
      </c>
      <c r="H215" s="17" t="n">
        <v>29.6</v>
      </c>
      <c r="I215" s="17" t="n">
        <v>23.8</v>
      </c>
      <c r="J215" s="17" t="n">
        <v>999.3</v>
      </c>
      <c r="K215" s="18" t="n">
        <v>26.23</v>
      </c>
      <c r="L215" s="17" t="n">
        <v>10.4</v>
      </c>
      <c r="M215" s="17" t="n">
        <v>5.4</v>
      </c>
      <c r="N215" s="17" t="n"/>
    </row>
    <row r="216">
      <c r="A216" s="15" t="n">
        <v>46237</v>
      </c>
      <c r="B216" s="17" t="n">
        <v>37.5</v>
      </c>
      <c r="C216" s="17" t="n">
        <v>24.6</v>
      </c>
      <c r="D216" s="17" t="n">
        <v>30.9</v>
      </c>
      <c r="E216" s="14" t="n">
        <v>70.90000000000001</v>
      </c>
      <c r="F216" s="14" t="n">
        <v>41</v>
      </c>
      <c r="G216" s="17" t="n">
        <v>1.4</v>
      </c>
      <c r="H216" s="17" t="n">
        <v>30.4</v>
      </c>
      <c r="I216" s="17" t="n">
        <v>24.3</v>
      </c>
      <c r="J216" s="17" t="n">
        <v>1001.2</v>
      </c>
      <c r="K216" s="18" t="n">
        <v>25.31</v>
      </c>
      <c r="L216" s="17" t="n">
        <v>10.1</v>
      </c>
      <c r="M216" s="17" t="n">
        <v>5.6</v>
      </c>
      <c r="N216" s="17" t="n"/>
    </row>
    <row r="217">
      <c r="A217" s="15" t="n">
        <v>46238</v>
      </c>
      <c r="B217" s="17" t="n">
        <v>37.6</v>
      </c>
      <c r="C217" s="17" t="n">
        <v>25.8</v>
      </c>
      <c r="D217" s="17" t="n">
        <v>31.2</v>
      </c>
      <c r="E217" s="14" t="n">
        <v>68.90000000000001</v>
      </c>
      <c r="F217" s="14" t="n">
        <v>44</v>
      </c>
      <c r="G217" s="17" t="n">
        <v>1.9</v>
      </c>
      <c r="H217" s="17" t="n">
        <v>30.4</v>
      </c>
      <c r="I217" s="17" t="n">
        <v>24.3</v>
      </c>
      <c r="J217" s="17" t="n">
        <v>1001</v>
      </c>
      <c r="K217" s="18" t="n">
        <v>26.51</v>
      </c>
      <c r="L217" s="17" t="n">
        <v>12.5</v>
      </c>
      <c r="M217" s="17" t="n">
        <v>5.7</v>
      </c>
      <c r="N217" s="17" t="n"/>
    </row>
    <row r="218">
      <c r="A218" s="15" t="n">
        <v>46239</v>
      </c>
      <c r="B218" s="17" t="n">
        <v>38.1</v>
      </c>
      <c r="C218" s="17" t="n">
        <v>25.7</v>
      </c>
      <c r="D218" s="17" t="n">
        <v>31.1</v>
      </c>
      <c r="E218" s="14" t="n">
        <v>68.09999999999999</v>
      </c>
      <c r="F218" s="14" t="n">
        <v>41</v>
      </c>
      <c r="G218" s="17" t="n">
        <v>1.4</v>
      </c>
      <c r="H218" s="17" t="n">
        <v>29.6</v>
      </c>
      <c r="I218" s="17" t="n">
        <v>23.9</v>
      </c>
      <c r="J218" s="17" t="n">
        <v>998.9</v>
      </c>
      <c r="K218" s="18" t="n">
        <v>26.24</v>
      </c>
      <c r="L218" s="17" t="n">
        <v>12.6</v>
      </c>
      <c r="M218" s="17" t="n">
        <v>5.5</v>
      </c>
      <c r="N218" s="17" t="n"/>
    </row>
    <row r="219">
      <c r="A219" s="15" t="n">
        <v>46240</v>
      </c>
      <c r="B219" s="17" t="n">
        <v>37.5</v>
      </c>
      <c r="C219" s="17" t="n">
        <v>24.7</v>
      </c>
      <c r="D219" s="17" t="n">
        <v>30.8</v>
      </c>
      <c r="E219" s="14" t="n">
        <v>64.90000000000001</v>
      </c>
      <c r="F219" s="14" t="n">
        <v>35</v>
      </c>
      <c r="G219" s="17" t="n">
        <v>1.7</v>
      </c>
      <c r="H219" s="17" t="n">
        <v>27.3</v>
      </c>
      <c r="I219" s="17" t="n">
        <v>22.5</v>
      </c>
      <c r="J219" s="17" t="n">
        <v>996.8</v>
      </c>
      <c r="K219" s="18" t="n">
        <v>26.73</v>
      </c>
      <c r="L219" s="17" t="n">
        <v>12.7</v>
      </c>
      <c r="M219" s="17" t="n">
        <v>5.8</v>
      </c>
      <c r="N219" s="17" t="n"/>
    </row>
    <row r="220">
      <c r="A220" s="15" t="n">
        <v>46241</v>
      </c>
      <c r="B220" s="17" t="n">
        <v>38.1</v>
      </c>
      <c r="C220" s="17" t="n">
        <v>24.2</v>
      </c>
      <c r="D220" s="17" t="n">
        <v>30.7</v>
      </c>
      <c r="E220" s="14" t="n">
        <v>65.5</v>
      </c>
      <c r="F220" s="14" t="n">
        <v>35</v>
      </c>
      <c r="G220" s="17" t="n">
        <v>1.7</v>
      </c>
      <c r="H220" s="17" t="n">
        <v>27.4</v>
      </c>
      <c r="I220" s="17" t="n">
        <v>22.6</v>
      </c>
      <c r="J220" s="17" t="n">
        <v>995.4</v>
      </c>
      <c r="K220" s="18" t="n">
        <v>26.56</v>
      </c>
      <c r="L220" s="17" t="n">
        <v>12.7</v>
      </c>
      <c r="M220" s="17" t="n">
        <v>5.7</v>
      </c>
      <c r="N220" s="17" t="n"/>
    </row>
    <row r="221">
      <c r="A221" s="15" t="n">
        <v>46242</v>
      </c>
      <c r="B221" s="17" t="n">
        <v>32.5</v>
      </c>
      <c r="C221" s="17" t="n">
        <v>23.2</v>
      </c>
      <c r="D221" s="17" t="n">
        <v>27.3</v>
      </c>
      <c r="E221" s="14" t="n">
        <v>67.09999999999999</v>
      </c>
      <c r="F221" s="14" t="n">
        <v>51</v>
      </c>
      <c r="G221" s="17" t="n">
        <v>3.2</v>
      </c>
      <c r="H221" s="17" t="n">
        <v>24.2</v>
      </c>
      <c r="I221" s="17" t="n">
        <v>20.4</v>
      </c>
      <c r="J221" s="17" t="n">
        <v>999.2</v>
      </c>
      <c r="K221" s="18" t="n">
        <v>24.54</v>
      </c>
      <c r="L221" s="17" t="n">
        <v>9.9</v>
      </c>
      <c r="M221" s="17" t="n">
        <v>5.8</v>
      </c>
      <c r="N221" s="17" t="n"/>
    </row>
    <row r="222">
      <c r="A222" s="15" t="n">
        <v>46243</v>
      </c>
      <c r="B222" s="17" t="n">
        <v>29.1</v>
      </c>
      <c r="C222" s="17" t="n">
        <v>21.7</v>
      </c>
      <c r="D222" s="17" t="n">
        <v>25.2</v>
      </c>
      <c r="E222" s="14" t="n">
        <v>64.5</v>
      </c>
      <c r="F222" s="14" t="n">
        <v>54</v>
      </c>
      <c r="G222" s="17" t="n">
        <v>2.7</v>
      </c>
      <c r="H222" s="17" t="n">
        <v>20.5</v>
      </c>
      <c r="I222" s="17" t="n">
        <v>17.8</v>
      </c>
      <c r="J222" s="17" t="n">
        <v>1001.6</v>
      </c>
      <c r="K222" s="18" t="n">
        <v>20</v>
      </c>
      <c r="L222" s="17" t="n">
        <v>8.5</v>
      </c>
      <c r="M222" s="17" t="n">
        <v>4.4</v>
      </c>
      <c r="N222" s="17" t="n"/>
    </row>
    <row r="223">
      <c r="A223" s="15" t="n">
        <v>46244</v>
      </c>
      <c r="B223" s="17" t="n">
        <v>32.1</v>
      </c>
      <c r="C223" s="17" t="n">
        <v>21.1</v>
      </c>
      <c r="D223" s="17" t="n">
        <v>26.4</v>
      </c>
      <c r="E223" s="14" t="n">
        <v>66.40000000000001</v>
      </c>
      <c r="F223" s="14" t="n">
        <v>48</v>
      </c>
      <c r="G223" s="17" t="n">
        <v>2.8</v>
      </c>
      <c r="H223" s="17" t="n">
        <v>22.2</v>
      </c>
      <c r="I223" s="17" t="n">
        <v>19.2</v>
      </c>
      <c r="J223" s="17" t="n">
        <v>1002.1</v>
      </c>
      <c r="K223" s="18" t="n">
        <v>23.35</v>
      </c>
      <c r="L223" s="17" t="n">
        <v>11.1</v>
      </c>
      <c r="M223" s="17" t="n">
        <v>5.3</v>
      </c>
      <c r="N223" s="17" t="n"/>
    </row>
    <row r="224">
      <c r="A224" s="15" t="n">
        <v>46245</v>
      </c>
      <c r="B224" s="17" t="n">
        <v>30.1</v>
      </c>
      <c r="C224" s="17" t="n">
        <v>20.5</v>
      </c>
      <c r="D224" s="17" t="n">
        <v>24.9</v>
      </c>
      <c r="E224" s="14" t="n">
        <v>65.8</v>
      </c>
      <c r="F224" s="14" t="n">
        <v>48</v>
      </c>
      <c r="G224" s="17" t="n">
        <v>2.6</v>
      </c>
      <c r="H224" s="17" t="n">
        <v>20.2</v>
      </c>
      <c r="I224" s="17" t="n">
        <v>17.6</v>
      </c>
      <c r="J224" s="17" t="n">
        <v>1000.9</v>
      </c>
      <c r="K224" s="18" t="n">
        <v>24.33</v>
      </c>
      <c r="L224" s="17" t="n">
        <v>8.699999999999999</v>
      </c>
      <c r="M224" s="17" t="n">
        <v>5.4</v>
      </c>
      <c r="N224" s="17" t="n"/>
    </row>
    <row r="225">
      <c r="A225" s="15" t="n">
        <v>46246</v>
      </c>
      <c r="B225" s="17" t="n">
        <v>28.5</v>
      </c>
      <c r="C225" s="17" t="n">
        <v>16.7</v>
      </c>
      <c r="D225" s="17" t="n">
        <v>23.7</v>
      </c>
      <c r="E225" s="14" t="n">
        <v>64.59999999999999</v>
      </c>
      <c r="F225" s="14" t="n">
        <v>46</v>
      </c>
      <c r="G225" s="17" t="n">
        <v>2.2</v>
      </c>
      <c r="H225" s="17" t="n">
        <v>18.4</v>
      </c>
      <c r="I225" s="17" t="n">
        <v>16.1</v>
      </c>
      <c r="J225" s="17" t="n">
        <v>998.2</v>
      </c>
      <c r="K225" s="18" t="n">
        <v>25.92</v>
      </c>
      <c r="L225" s="17" t="n">
        <v>10.5</v>
      </c>
      <c r="M225" s="17" t="n">
        <v>5.4</v>
      </c>
      <c r="N225" s="17" t="n"/>
    </row>
    <row r="226">
      <c r="A226" s="15" t="n">
        <v>46247</v>
      </c>
      <c r="B226" s="17" t="n">
        <v>29.7</v>
      </c>
      <c r="C226" s="17" t="n">
        <v>22</v>
      </c>
      <c r="D226" s="17" t="n">
        <v>25</v>
      </c>
      <c r="E226" s="14" t="n">
        <v>72.5</v>
      </c>
      <c r="F226" s="14" t="n">
        <v>51</v>
      </c>
      <c r="G226" s="17" t="n">
        <v>1.2</v>
      </c>
      <c r="H226" s="17" t="n">
        <v>22.7</v>
      </c>
      <c r="I226" s="17" t="n">
        <v>19.5</v>
      </c>
      <c r="J226" s="17" t="n">
        <v>995.4</v>
      </c>
      <c r="K226" s="18" t="n">
        <v>12.47</v>
      </c>
      <c r="L226" s="17" t="n">
        <v>1.6</v>
      </c>
      <c r="M226" s="17" t="n">
        <v>2.6</v>
      </c>
      <c r="N226" s="17" t="n"/>
    </row>
    <row r="227">
      <c r="A227" s="15" t="n">
        <v>46248</v>
      </c>
      <c r="B227" s="17" t="n">
        <v>30.9</v>
      </c>
      <c r="C227" s="17" t="n">
        <v>21.5</v>
      </c>
      <c r="D227" s="17" t="n">
        <v>25.9</v>
      </c>
      <c r="E227" s="14" t="n">
        <v>75.09999999999999</v>
      </c>
      <c r="F227" s="14" t="n">
        <v>55</v>
      </c>
      <c r="G227" s="17" t="n">
        <v>1.1</v>
      </c>
      <c r="H227" s="17" t="n">
        <v>24.7</v>
      </c>
      <c r="I227" s="17" t="n">
        <v>20.9</v>
      </c>
      <c r="J227" s="17" t="n">
        <v>996</v>
      </c>
      <c r="K227" s="18" t="n">
        <v>15.21</v>
      </c>
      <c r="L227" s="17" t="n">
        <v>2.7</v>
      </c>
      <c r="M227" s="17" t="n">
        <v>2.9</v>
      </c>
      <c r="N227" s="17" t="n"/>
    </row>
    <row r="228">
      <c r="A228" s="15" t="n">
        <v>46249</v>
      </c>
      <c r="B228" s="17" t="n">
        <v>28</v>
      </c>
      <c r="C228" s="17" t="n">
        <v>22.9</v>
      </c>
      <c r="D228" s="17" t="n">
        <v>24.9</v>
      </c>
      <c r="E228" s="14" t="n">
        <v>83.40000000000001</v>
      </c>
      <c r="F228" s="14" t="n">
        <v>71</v>
      </c>
      <c r="G228" s="17" t="n">
        <v>0.8</v>
      </c>
      <c r="H228" s="17" t="n">
        <v>26.1</v>
      </c>
      <c r="I228" s="17" t="n">
        <v>21.8</v>
      </c>
      <c r="J228" s="17" t="n">
        <v>997.1</v>
      </c>
      <c r="K228" s="18" t="n">
        <v>7.26</v>
      </c>
      <c r="L228" s="17" t="n">
        <v>0.2</v>
      </c>
      <c r="M228" s="17" t="n">
        <v>1.3</v>
      </c>
      <c r="N228" s="17" t="n">
        <v>2.1</v>
      </c>
    </row>
    <row r="229">
      <c r="A229" s="15" t="n">
        <v>46250</v>
      </c>
      <c r="B229" s="17" t="n">
        <v>25.2</v>
      </c>
      <c r="C229" s="17" t="n">
        <v>22.7</v>
      </c>
      <c r="D229" s="17" t="n">
        <v>23.7</v>
      </c>
      <c r="E229" s="14" t="n">
        <v>90.8</v>
      </c>
      <c r="F229" s="14" t="n">
        <v>81</v>
      </c>
      <c r="G229" s="17" t="n">
        <v>1.1</v>
      </c>
      <c r="H229" s="17" t="n">
        <v>26.5</v>
      </c>
      <c r="I229" s="17" t="n">
        <v>22.1</v>
      </c>
      <c r="J229" s="17" t="n">
        <v>996.6</v>
      </c>
      <c r="K229" s="18" t="n">
        <v>5.46</v>
      </c>
      <c r="L229" s="17" t="n">
        <v>0</v>
      </c>
      <c r="M229" s="17" t="n">
        <v>1.1</v>
      </c>
      <c r="N229" s="17" t="n">
        <v>15.8</v>
      </c>
    </row>
    <row r="230">
      <c r="A230" s="15" t="n">
        <v>46251</v>
      </c>
      <c r="B230" s="17" t="n">
        <v>26.5</v>
      </c>
      <c r="C230" s="17" t="n">
        <v>22.6</v>
      </c>
      <c r="D230" s="17" t="n">
        <v>24.2</v>
      </c>
      <c r="E230" s="14" t="n">
        <v>90.40000000000001</v>
      </c>
      <c r="F230" s="14" t="n">
        <v>78</v>
      </c>
      <c r="G230" s="17" t="n">
        <v>0.6</v>
      </c>
      <c r="H230" s="17" t="n">
        <v>27.1</v>
      </c>
      <c r="I230" s="17" t="n">
        <v>22.4</v>
      </c>
      <c r="J230" s="17" t="n">
        <v>996.9</v>
      </c>
      <c r="K230" s="18" t="n">
        <v>6.04</v>
      </c>
      <c r="L230" s="17" t="n">
        <v>0</v>
      </c>
      <c r="M230" s="17" t="n">
        <v>1.3</v>
      </c>
      <c r="N230" s="17" t="n">
        <v>33.3</v>
      </c>
    </row>
    <row r="231">
      <c r="A231" s="15" t="n">
        <v>46252</v>
      </c>
      <c r="B231" s="17" t="n">
        <v>31.8</v>
      </c>
      <c r="C231" s="17" t="n">
        <v>22.5</v>
      </c>
      <c r="D231" s="17" t="n">
        <v>26.5</v>
      </c>
      <c r="E231" s="14" t="n">
        <v>77.3</v>
      </c>
      <c r="F231" s="14" t="n">
        <v>50</v>
      </c>
      <c r="G231" s="17" t="n">
        <v>1.2</v>
      </c>
      <c r="H231" s="17" t="n">
        <v>26</v>
      </c>
      <c r="I231" s="17" t="n">
        <v>21.7</v>
      </c>
      <c r="J231" s="17" t="n">
        <v>1000.4</v>
      </c>
      <c r="K231" s="18" t="n">
        <v>22.96</v>
      </c>
      <c r="L231" s="17" t="n">
        <v>9.300000000000001</v>
      </c>
      <c r="M231" s="17" t="n">
        <v>4.5</v>
      </c>
      <c r="N231" s="17" t="n"/>
    </row>
    <row r="232">
      <c r="A232" s="15" t="n">
        <v>46253</v>
      </c>
      <c r="B232" s="17" t="n">
        <v>30.3</v>
      </c>
      <c r="C232" s="17" t="n">
        <v>21.3</v>
      </c>
      <c r="D232" s="17" t="n">
        <v>25.4</v>
      </c>
      <c r="E232" s="14" t="n">
        <v>79.40000000000001</v>
      </c>
      <c r="F232" s="14" t="n">
        <v>56</v>
      </c>
      <c r="G232" s="17" t="n">
        <v>1</v>
      </c>
      <c r="H232" s="17" t="n">
        <v>25.3</v>
      </c>
      <c r="I232" s="17" t="n">
        <v>21.3</v>
      </c>
      <c r="J232" s="17" t="n">
        <v>1004</v>
      </c>
      <c r="K232" s="18" t="n">
        <v>14.29</v>
      </c>
      <c r="L232" s="17" t="n">
        <v>2.6</v>
      </c>
      <c r="M232" s="17" t="n">
        <v>2.5</v>
      </c>
      <c r="N232" s="17" t="n"/>
    </row>
    <row r="233">
      <c r="A233" s="15" t="n">
        <v>46254</v>
      </c>
      <c r="B233" s="17" t="n">
        <v>29.7</v>
      </c>
      <c r="C233" s="17" t="n">
        <v>22.2</v>
      </c>
      <c r="D233" s="17" t="n">
        <v>25.2</v>
      </c>
      <c r="E233" s="14" t="n">
        <v>85</v>
      </c>
      <c r="F233" s="14" t="n">
        <v>60</v>
      </c>
      <c r="G233" s="17" t="n">
        <v>1</v>
      </c>
      <c r="H233" s="17" t="n">
        <v>27</v>
      </c>
      <c r="I233" s="17" t="n">
        <v>22.3</v>
      </c>
      <c r="J233" s="17" t="n">
        <v>1004.6</v>
      </c>
      <c r="K233" s="18" t="n">
        <v>10.86</v>
      </c>
      <c r="L233" s="17" t="n">
        <v>0.9</v>
      </c>
      <c r="M233" s="17" t="n">
        <v>2</v>
      </c>
      <c r="N233" s="17" t="n">
        <v>0.1</v>
      </c>
    </row>
    <row r="234">
      <c r="A234" s="15" t="n">
        <v>46255</v>
      </c>
      <c r="B234" s="17" t="n">
        <v>27.8</v>
      </c>
      <c r="C234" s="17" t="n">
        <v>23.2</v>
      </c>
      <c r="D234" s="17" t="n">
        <v>24.9</v>
      </c>
      <c r="E234" s="14" t="n">
        <v>87.8</v>
      </c>
      <c r="F234" s="14" t="n">
        <v>76</v>
      </c>
      <c r="G234" s="17" t="n">
        <v>0.7</v>
      </c>
      <c r="H234" s="17" t="n">
        <v>27.5</v>
      </c>
      <c r="I234" s="17" t="n">
        <v>22.6</v>
      </c>
      <c r="J234" s="17" t="n">
        <v>1003</v>
      </c>
      <c r="K234" s="18" t="n">
        <v>6.65</v>
      </c>
      <c r="L234" s="17" t="n">
        <v>0</v>
      </c>
      <c r="M234" s="17" t="n">
        <v>1.3</v>
      </c>
      <c r="N234" s="17" t="n">
        <v>0.1</v>
      </c>
    </row>
    <row r="235">
      <c r="A235" s="15" t="n">
        <v>46256</v>
      </c>
      <c r="B235" s="17" t="n">
        <v>26.4</v>
      </c>
      <c r="C235" s="17" t="n">
        <v>21.6</v>
      </c>
      <c r="D235" s="17" t="n">
        <v>23.2</v>
      </c>
      <c r="E235" s="14" t="n">
        <v>92.8</v>
      </c>
      <c r="F235" s="14" t="n">
        <v>85</v>
      </c>
      <c r="G235" s="17" t="n">
        <v>1</v>
      </c>
      <c r="H235" s="17" t="n">
        <v>26.2</v>
      </c>
      <c r="I235" s="17" t="n">
        <v>21.8</v>
      </c>
      <c r="J235" s="17" t="n">
        <v>1004</v>
      </c>
      <c r="K235" s="18" t="n">
        <v>4.35</v>
      </c>
      <c r="L235" s="17" t="n">
        <v>0</v>
      </c>
      <c r="M235" s="17" t="n">
        <v>1</v>
      </c>
      <c r="N235" s="17" t="n">
        <v>28.4</v>
      </c>
    </row>
    <row r="236">
      <c r="A236" s="15" t="n">
        <v>46257</v>
      </c>
      <c r="B236" s="17" t="n">
        <v>33.6</v>
      </c>
      <c r="C236" s="17" t="n">
        <v>21.6</v>
      </c>
      <c r="D236" s="17" t="n">
        <v>26.6</v>
      </c>
      <c r="E236" s="14" t="n">
        <v>80.90000000000001</v>
      </c>
      <c r="F236" s="14" t="n">
        <v>52</v>
      </c>
      <c r="G236" s="17" t="n">
        <v>1.1</v>
      </c>
      <c r="H236" s="17" t="n">
        <v>27.6</v>
      </c>
      <c r="I236" s="17" t="n">
        <v>22.7</v>
      </c>
      <c r="J236" s="17" t="n">
        <v>1004.4</v>
      </c>
      <c r="K236" s="18" t="n">
        <v>22.22</v>
      </c>
      <c r="L236" s="17" t="n">
        <v>8.199999999999999</v>
      </c>
      <c r="M236" s="17" t="n">
        <v>4.2</v>
      </c>
      <c r="N236" s="17" t="n"/>
    </row>
    <row r="237">
      <c r="A237" s="15" t="n">
        <v>46258</v>
      </c>
      <c r="B237" s="17" t="n">
        <v>33.3</v>
      </c>
      <c r="C237" s="17" t="n">
        <v>23.2</v>
      </c>
      <c r="D237" s="17" t="n">
        <v>27.9</v>
      </c>
      <c r="E237" s="14" t="n">
        <v>75.5</v>
      </c>
      <c r="F237" s="14" t="n">
        <v>52</v>
      </c>
      <c r="G237" s="17" t="n">
        <v>1.6</v>
      </c>
      <c r="H237" s="17" t="n">
        <v>27.7</v>
      </c>
      <c r="I237" s="17" t="n">
        <v>22.8</v>
      </c>
      <c r="J237" s="17" t="n">
        <v>1002.6</v>
      </c>
      <c r="K237" s="18" t="n">
        <v>21.5</v>
      </c>
      <c r="L237" s="17" t="n">
        <v>7.8</v>
      </c>
      <c r="M237" s="17" t="n">
        <v>4.7</v>
      </c>
      <c r="N237" s="17" t="n"/>
    </row>
    <row r="238">
      <c r="A238" s="15" t="n">
        <v>46259</v>
      </c>
      <c r="B238" s="17" t="n">
        <v>33.2</v>
      </c>
      <c r="C238" s="17" t="n">
        <v>24.3</v>
      </c>
      <c r="D238" s="17" t="n">
        <v>27.7</v>
      </c>
      <c r="E238" s="14" t="n">
        <v>78.09999999999999</v>
      </c>
      <c r="F238" s="14" t="n">
        <v>52</v>
      </c>
      <c r="G238" s="17" t="n">
        <v>1.3</v>
      </c>
      <c r="H238" s="17" t="n">
        <v>28.4</v>
      </c>
      <c r="I238" s="17" t="n">
        <v>23.2</v>
      </c>
      <c r="J238" s="17" t="n">
        <v>1001.5</v>
      </c>
      <c r="K238" s="18" t="n">
        <v>19.73</v>
      </c>
      <c r="L238" s="17" t="n">
        <v>7</v>
      </c>
      <c r="M238" s="17" t="n">
        <v>3.7</v>
      </c>
      <c r="N238" s="17" t="n">
        <v>6.2</v>
      </c>
    </row>
    <row r="239">
      <c r="A239" s="15" t="n">
        <v>46260</v>
      </c>
      <c r="B239" s="17" t="n">
        <v>31.9</v>
      </c>
      <c r="C239" s="17" t="n">
        <v>23.4</v>
      </c>
      <c r="D239" s="17" t="n">
        <v>26.2</v>
      </c>
      <c r="E239" s="14" t="n">
        <v>80.3</v>
      </c>
      <c r="F239" s="14" t="n">
        <v>57</v>
      </c>
      <c r="G239" s="17" t="n">
        <v>1.4</v>
      </c>
      <c r="H239" s="17" t="n">
        <v>27.1</v>
      </c>
      <c r="I239" s="17" t="n">
        <v>22.4</v>
      </c>
      <c r="J239" s="17" t="n">
        <v>999.1</v>
      </c>
      <c r="K239" s="18" t="n">
        <v>13.06</v>
      </c>
      <c r="L239" s="17" t="n">
        <v>1.7</v>
      </c>
      <c r="M239" s="17" t="n">
        <v>2.7</v>
      </c>
      <c r="N239" s="17" t="n"/>
    </row>
    <row r="240">
      <c r="A240" s="15" t="n">
        <v>46261</v>
      </c>
      <c r="B240" s="17" t="n">
        <v>33</v>
      </c>
      <c r="C240" s="17" t="n">
        <v>22.5</v>
      </c>
      <c r="D240" s="17" t="n">
        <v>27</v>
      </c>
      <c r="E240" s="14" t="n">
        <v>76.8</v>
      </c>
      <c r="F240" s="14" t="n">
        <v>52</v>
      </c>
      <c r="G240" s="17" t="n">
        <v>1.2</v>
      </c>
      <c r="H240" s="17" t="n">
        <v>26.8</v>
      </c>
      <c r="I240" s="17" t="n">
        <v>22.2</v>
      </c>
      <c r="J240" s="17" t="n">
        <v>997.7</v>
      </c>
      <c r="K240" s="18" t="n">
        <v>19.81</v>
      </c>
      <c r="L240" s="17" t="n">
        <v>7.7</v>
      </c>
      <c r="M240" s="17" t="n">
        <v>4</v>
      </c>
      <c r="N240" s="17" t="n"/>
    </row>
    <row r="241">
      <c r="A241" s="15" t="n">
        <v>46262</v>
      </c>
      <c r="B241" s="17" t="n">
        <v>27.2</v>
      </c>
      <c r="C241" s="17" t="n">
        <v>23.7</v>
      </c>
      <c r="D241" s="17" t="n">
        <v>25.3</v>
      </c>
      <c r="E241" s="14" t="n">
        <v>77.8</v>
      </c>
      <c r="F241" s="14" t="n">
        <v>66</v>
      </c>
      <c r="G241" s="17" t="n">
        <v>1.6</v>
      </c>
      <c r="H241" s="17" t="n">
        <v>24.9</v>
      </c>
      <c r="I241" s="17" t="n">
        <v>21</v>
      </c>
      <c r="J241" s="17" t="n">
        <v>999.4</v>
      </c>
      <c r="K241" s="18" t="n">
        <v>4.98</v>
      </c>
      <c r="L241" s="17" t="n">
        <v>0.1</v>
      </c>
      <c r="M241" s="17" t="n">
        <v>1.2</v>
      </c>
      <c r="N241" s="17" t="n"/>
    </row>
    <row r="242">
      <c r="A242" s="15" t="n">
        <v>46263</v>
      </c>
      <c r="B242" s="17" t="n">
        <v>30.6</v>
      </c>
      <c r="C242" s="17" t="n">
        <v>23.2</v>
      </c>
      <c r="D242" s="17" t="n">
        <v>25.3</v>
      </c>
      <c r="E242" s="14" t="n">
        <v>80.40000000000001</v>
      </c>
      <c r="F242" s="14" t="n">
        <v>60</v>
      </c>
      <c r="G242" s="17" t="n">
        <v>1</v>
      </c>
      <c r="H242" s="17" t="n">
        <v>25.7</v>
      </c>
      <c r="I242" s="17" t="n">
        <v>21.5</v>
      </c>
      <c r="J242" s="17" t="n">
        <v>997.5</v>
      </c>
      <c r="K242" s="18" t="n">
        <v>9.869999999999999</v>
      </c>
      <c r="L242" s="17" t="n">
        <v>1.1</v>
      </c>
      <c r="M242" s="17" t="n">
        <v>2.1</v>
      </c>
      <c r="N242" s="17" t="n">
        <v>0</v>
      </c>
    </row>
    <row r="243">
      <c r="A243" s="15" t="n">
        <v>46264</v>
      </c>
      <c r="B243" s="17" t="n">
        <v>27.8</v>
      </c>
      <c r="C243" s="17" t="n">
        <v>21.8</v>
      </c>
      <c r="D243" s="17" t="n">
        <v>24.3</v>
      </c>
      <c r="E243" s="14" t="n">
        <v>84.40000000000001</v>
      </c>
      <c r="F243" s="14" t="n">
        <v>67</v>
      </c>
      <c r="G243" s="17" t="n">
        <v>0.9</v>
      </c>
      <c r="H243" s="17" t="n">
        <v>25.5</v>
      </c>
      <c r="I243" s="17" t="n">
        <v>21.4</v>
      </c>
      <c r="J243" s="17" t="n">
        <v>999.1</v>
      </c>
      <c r="K243" s="18" t="n">
        <v>9.68</v>
      </c>
      <c r="L243" s="17" t="n">
        <v>0.2</v>
      </c>
      <c r="M243" s="17" t="n">
        <v>1.8</v>
      </c>
      <c r="N243" s="17" t="n">
        <v>0.3</v>
      </c>
    </row>
    <row r="244">
      <c r="A244" s="15" t="n">
        <v>46265</v>
      </c>
      <c r="B244" s="17" t="n">
        <v>25.1</v>
      </c>
      <c r="C244" s="17" t="n">
        <v>22.7</v>
      </c>
      <c r="D244" s="17" t="n">
        <v>23.6</v>
      </c>
      <c r="E244" s="14" t="n">
        <v>92.8</v>
      </c>
      <c r="F244" s="14" t="n">
        <v>89</v>
      </c>
      <c r="G244" s="17" t="n">
        <v>0.7</v>
      </c>
      <c r="H244" s="17" t="n">
        <v>27</v>
      </c>
      <c r="I244" s="17" t="n">
        <v>22.3</v>
      </c>
      <c r="J244" s="17" t="n">
        <v>1000</v>
      </c>
      <c r="K244" s="18" t="n">
        <v>4.19</v>
      </c>
      <c r="L244" s="17" t="n">
        <v>0</v>
      </c>
      <c r="M244" s="17" t="n">
        <v>0.8</v>
      </c>
      <c r="N244" s="17" t="n">
        <v>36.2</v>
      </c>
    </row>
    <row r="245">
      <c r="A245" s="15" t="n">
        <v>46266</v>
      </c>
      <c r="B245" s="17" t="n">
        <v>24.1</v>
      </c>
      <c r="C245" s="17" t="n">
        <v>21.7</v>
      </c>
      <c r="D245" s="17" t="n">
        <v>22.6</v>
      </c>
      <c r="E245" s="14" t="n">
        <v>93</v>
      </c>
      <c r="F245" s="14" t="n">
        <v>86</v>
      </c>
      <c r="G245" s="17" t="n">
        <v>0.8</v>
      </c>
      <c r="H245" s="17" t="n">
        <v>25.4</v>
      </c>
      <c r="I245" s="17" t="n">
        <v>21.3</v>
      </c>
      <c r="J245" s="17" t="n">
        <v>1001.9</v>
      </c>
      <c r="K245" s="18" t="n">
        <v>3.21</v>
      </c>
      <c r="L245" s="17" t="n">
        <v>0</v>
      </c>
      <c r="M245" s="17" t="n">
        <v>0.7</v>
      </c>
      <c r="N245" s="17" t="n">
        <v>12.5</v>
      </c>
    </row>
    <row r="246">
      <c r="A246" s="15" t="n">
        <v>46267</v>
      </c>
      <c r="B246" s="17" t="n">
        <v>29.5</v>
      </c>
      <c r="C246" s="17" t="n">
        <v>21.3</v>
      </c>
      <c r="D246" s="17" t="n">
        <v>24.1</v>
      </c>
      <c r="E246" s="14" t="n">
        <v>84.8</v>
      </c>
      <c r="F246" s="14" t="n">
        <v>58</v>
      </c>
      <c r="G246" s="17" t="n">
        <v>0.7</v>
      </c>
      <c r="H246" s="17" t="n">
        <v>25</v>
      </c>
      <c r="I246" s="17" t="n">
        <v>21.1</v>
      </c>
      <c r="J246" s="17" t="n">
        <v>1002.3</v>
      </c>
      <c r="K246" s="18" t="n">
        <v>14.18</v>
      </c>
      <c r="L246" s="17" t="n">
        <v>3.8</v>
      </c>
      <c r="M246" s="17" t="n">
        <v>2.8</v>
      </c>
      <c r="N246" s="17" t="n">
        <v>1.4</v>
      </c>
    </row>
    <row r="247">
      <c r="A247" s="15" t="n">
        <v>46268</v>
      </c>
      <c r="B247" s="17" t="n">
        <v>31.2</v>
      </c>
      <c r="C247" s="17" t="n">
        <v>20.1</v>
      </c>
      <c r="D247" s="17" t="n">
        <v>24.6</v>
      </c>
      <c r="E247" s="14" t="n">
        <v>73.40000000000001</v>
      </c>
      <c r="F247" s="14" t="n">
        <v>40</v>
      </c>
      <c r="G247" s="17" t="n">
        <v>2</v>
      </c>
      <c r="H247" s="17" t="n">
        <v>21.9</v>
      </c>
      <c r="I247" s="17" t="n">
        <v>18.9</v>
      </c>
      <c r="J247" s="17" t="n">
        <v>1003</v>
      </c>
      <c r="K247" s="18" t="n">
        <v>24.31</v>
      </c>
      <c r="L247" s="17" t="n">
        <v>10.8</v>
      </c>
      <c r="M247" s="17" t="n">
        <v>5.3</v>
      </c>
      <c r="N247" s="17" t="n"/>
    </row>
    <row r="248">
      <c r="A248" s="15" t="n">
        <v>46269</v>
      </c>
      <c r="B248" s="17" t="n">
        <v>28.6</v>
      </c>
      <c r="C248" s="17" t="n">
        <v>17.6</v>
      </c>
      <c r="D248" s="17" t="n">
        <v>22.6</v>
      </c>
      <c r="E248" s="14" t="n">
        <v>67</v>
      </c>
      <c r="F248" s="14" t="n">
        <v>42</v>
      </c>
      <c r="G248" s="17" t="n">
        <v>2.6</v>
      </c>
      <c r="H248" s="17" t="n">
        <v>17.5</v>
      </c>
      <c r="I248" s="17" t="n">
        <v>15.4</v>
      </c>
      <c r="J248" s="17" t="n">
        <v>1005.2</v>
      </c>
      <c r="K248" s="18" t="n">
        <v>24.43</v>
      </c>
      <c r="L248" s="17" t="n">
        <v>11.4</v>
      </c>
      <c r="M248" s="17" t="n">
        <v>5.2</v>
      </c>
      <c r="N248" s="17" t="n"/>
    </row>
    <row r="249">
      <c r="A249" s="15" t="n">
        <v>46270</v>
      </c>
      <c r="B249" s="17" t="n">
        <v>27.9</v>
      </c>
      <c r="C249" s="17" t="n">
        <v>14.7</v>
      </c>
      <c r="D249" s="17" t="n">
        <v>21.2</v>
      </c>
      <c r="E249" s="14" t="n">
        <v>71.5</v>
      </c>
      <c r="F249" s="14" t="n">
        <v>44</v>
      </c>
      <c r="G249" s="17" t="n">
        <v>1.6</v>
      </c>
      <c r="H249" s="17" t="n">
        <v>17.3</v>
      </c>
      <c r="I249" s="17" t="n">
        <v>15.2</v>
      </c>
      <c r="J249" s="17" t="n">
        <v>1005.7</v>
      </c>
      <c r="K249" s="18" t="n">
        <v>20.02</v>
      </c>
      <c r="L249" s="17" t="n">
        <v>8.300000000000001</v>
      </c>
      <c r="M249" s="17" t="n">
        <v>3.8</v>
      </c>
      <c r="N249" s="17" t="n"/>
    </row>
    <row r="250">
      <c r="A250" s="15" t="n">
        <v>46271</v>
      </c>
      <c r="B250" s="17" t="n">
        <v>26.9</v>
      </c>
      <c r="C250" s="17" t="n">
        <v>15.3</v>
      </c>
      <c r="D250" s="17" t="n">
        <v>20.6</v>
      </c>
      <c r="E250" s="14" t="n">
        <v>72.90000000000001</v>
      </c>
      <c r="F250" s="14" t="n">
        <v>45</v>
      </c>
      <c r="G250" s="17" t="n">
        <v>1.5</v>
      </c>
      <c r="H250" s="17" t="n">
        <v>17.1</v>
      </c>
      <c r="I250" s="17" t="n">
        <v>15</v>
      </c>
      <c r="J250" s="17" t="n">
        <v>1004</v>
      </c>
      <c r="K250" s="18" t="n">
        <v>16.54</v>
      </c>
      <c r="L250" s="17" t="n">
        <v>6.3</v>
      </c>
      <c r="M250" s="17" t="n">
        <v>3.4</v>
      </c>
      <c r="N250" s="17" t="n"/>
    </row>
    <row r="251">
      <c r="A251" s="15" t="n">
        <v>46272</v>
      </c>
      <c r="B251" s="17" t="n">
        <v>29</v>
      </c>
      <c r="C251" s="17" t="n">
        <v>13.7</v>
      </c>
      <c r="D251" s="17" t="n">
        <v>21</v>
      </c>
      <c r="E251" s="14" t="n">
        <v>70.09999999999999</v>
      </c>
      <c r="F251" s="14" t="n">
        <v>36</v>
      </c>
      <c r="G251" s="17" t="n">
        <v>1.2</v>
      </c>
      <c r="H251" s="17" t="n">
        <v>16.5</v>
      </c>
      <c r="I251" s="17" t="n">
        <v>14.5</v>
      </c>
      <c r="J251" s="17" t="n">
        <v>1000</v>
      </c>
      <c r="K251" s="18" t="n">
        <v>22.96</v>
      </c>
      <c r="L251" s="17" t="n">
        <v>10.9</v>
      </c>
      <c r="M251" s="17" t="n">
        <v>4.5</v>
      </c>
      <c r="N251" s="17" t="n"/>
    </row>
    <row r="252">
      <c r="A252" s="15" t="n">
        <v>46273</v>
      </c>
      <c r="B252" s="17" t="n">
        <v>29.5</v>
      </c>
      <c r="C252" s="17" t="n">
        <v>14.1</v>
      </c>
      <c r="D252" s="17" t="n">
        <v>21.6</v>
      </c>
      <c r="E252" s="14" t="n">
        <v>66.59999999999999</v>
      </c>
      <c r="F252" s="14" t="n">
        <v>35</v>
      </c>
      <c r="G252" s="17" t="n">
        <v>2.1</v>
      </c>
      <c r="H252" s="17" t="n">
        <v>16.4</v>
      </c>
      <c r="I252" s="17" t="n">
        <v>14.4</v>
      </c>
      <c r="J252" s="17" t="n">
        <v>1000.1</v>
      </c>
      <c r="K252" s="18" t="n">
        <v>21.76</v>
      </c>
      <c r="L252" s="17" t="n">
        <v>10.4</v>
      </c>
      <c r="M252" s="17" t="n">
        <v>4.9</v>
      </c>
      <c r="N252" s="17" t="n"/>
    </row>
    <row r="253">
      <c r="A253" s="15" t="n">
        <v>46274</v>
      </c>
      <c r="B253" s="17" t="n">
        <v>23.8</v>
      </c>
      <c r="C253" s="17" t="n">
        <v>13</v>
      </c>
      <c r="D253" s="17" t="n">
        <v>19</v>
      </c>
      <c r="E253" s="14" t="n">
        <v>62.5</v>
      </c>
      <c r="F253" s="14" t="n">
        <v>45</v>
      </c>
      <c r="G253" s="17" t="n">
        <v>2.9</v>
      </c>
      <c r="H253" s="17" t="n">
        <v>13.4</v>
      </c>
      <c r="I253" s="17" t="n">
        <v>11.3</v>
      </c>
      <c r="J253" s="17" t="n">
        <v>1008.1</v>
      </c>
      <c r="K253" s="18" t="n">
        <v>16.86</v>
      </c>
      <c r="L253" s="17" t="n">
        <v>3.9</v>
      </c>
      <c r="M253" s="17" t="n">
        <v>3.4</v>
      </c>
      <c r="N253" s="17" t="n"/>
    </row>
    <row r="254">
      <c r="A254" s="15" t="n">
        <v>46275</v>
      </c>
      <c r="B254" s="17" t="n">
        <v>21.4</v>
      </c>
      <c r="C254" s="17" t="n">
        <v>12.3</v>
      </c>
      <c r="D254" s="17" t="n">
        <v>16.3</v>
      </c>
      <c r="E254" s="14" t="n">
        <v>77.3</v>
      </c>
      <c r="F254" s="14" t="n">
        <v>53</v>
      </c>
      <c r="G254" s="17" t="n">
        <v>0.8</v>
      </c>
      <c r="H254" s="17" t="n">
        <v>14.1</v>
      </c>
      <c r="I254" s="17" t="n">
        <v>12</v>
      </c>
      <c r="J254" s="17" t="n">
        <v>1011.2</v>
      </c>
      <c r="K254" s="18" t="n">
        <v>8.99</v>
      </c>
      <c r="L254" s="17" t="n">
        <v>0</v>
      </c>
      <c r="M254" s="17" t="n">
        <v>1.5</v>
      </c>
      <c r="N254" s="17" t="n"/>
    </row>
    <row r="255">
      <c r="A255" s="15" t="n">
        <v>46276</v>
      </c>
      <c r="B255" s="17" t="n">
        <v>25.6</v>
      </c>
      <c r="C255" s="17" t="n">
        <v>11.6</v>
      </c>
      <c r="D255" s="17" t="n">
        <v>17.6</v>
      </c>
      <c r="E255" s="14" t="n">
        <v>77.40000000000001</v>
      </c>
      <c r="F255" s="14" t="n">
        <v>40</v>
      </c>
      <c r="G255" s="17" t="n">
        <v>0.7</v>
      </c>
      <c r="H255" s="17" t="n">
        <v>15.2</v>
      </c>
      <c r="I255" s="17" t="n">
        <v>13.1</v>
      </c>
      <c r="J255" s="17" t="n">
        <v>1012</v>
      </c>
      <c r="K255" s="18" t="n">
        <v>16.86</v>
      </c>
      <c r="L255" s="17" t="n">
        <v>5.4</v>
      </c>
      <c r="M255" s="17" t="n">
        <v>2.7</v>
      </c>
      <c r="N255" s="17" t="n"/>
    </row>
    <row r="256">
      <c r="A256" s="15" t="n">
        <v>46277</v>
      </c>
      <c r="B256" s="17" t="n">
        <v>22.3</v>
      </c>
      <c r="C256" s="17" t="n">
        <v>13</v>
      </c>
      <c r="D256" s="17" t="n">
        <v>18</v>
      </c>
      <c r="E256" s="14" t="n">
        <v>83.3</v>
      </c>
      <c r="F256" s="14" t="n">
        <v>67</v>
      </c>
      <c r="G256" s="17" t="n">
        <v>0.5</v>
      </c>
      <c r="H256" s="17" t="n">
        <v>17.1</v>
      </c>
      <c r="I256" s="17" t="n">
        <v>15</v>
      </c>
      <c r="J256" s="17" t="n">
        <v>1011.8</v>
      </c>
      <c r="K256" s="18" t="n">
        <v>8.960000000000001</v>
      </c>
      <c r="L256" s="17" t="n">
        <v>0.4</v>
      </c>
      <c r="M256" s="17" t="n">
        <v>1.4</v>
      </c>
      <c r="N256" s="17" t="n"/>
    </row>
    <row r="257">
      <c r="A257" s="15" t="n">
        <v>46278</v>
      </c>
      <c r="B257" s="17" t="n">
        <v>22.5</v>
      </c>
      <c r="C257" s="17" t="n">
        <v>15.8</v>
      </c>
      <c r="D257" s="17" t="n">
        <v>18.7</v>
      </c>
      <c r="E257" s="14" t="n">
        <v>84.90000000000001</v>
      </c>
      <c r="F257" s="14" t="n">
        <v>72</v>
      </c>
      <c r="G257" s="17" t="n">
        <v>0.5</v>
      </c>
      <c r="H257" s="17" t="n">
        <v>18.2</v>
      </c>
      <c r="I257" s="17" t="n">
        <v>15.9</v>
      </c>
      <c r="J257" s="17" t="n">
        <v>1009.2</v>
      </c>
      <c r="K257" s="18" t="n">
        <v>7.52</v>
      </c>
      <c r="L257" s="17" t="n">
        <v>0</v>
      </c>
      <c r="M257" s="17" t="n">
        <v>1.2</v>
      </c>
      <c r="N257" s="1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9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9" t="inlineStr">
        <is>
          <t>일자</t>
        </is>
      </c>
      <c r="B1" s="19" t="inlineStr">
        <is>
          <t>연중일 DOY</t>
        </is>
      </c>
      <c r="C1" s="19" t="inlineStr">
        <is>
          <t>평균기온 T(℃)</t>
        </is>
      </c>
      <c r="D1" s="19" t="inlineStr">
        <is>
          <t>e°(Tmax)</t>
        </is>
      </c>
      <c r="E1" s="19" t="inlineStr">
        <is>
          <t>e°(Tmin)</t>
        </is>
      </c>
      <c r="F1" s="19" t="inlineStr">
        <is>
          <t>포화증기압 es(kPa)</t>
        </is>
      </c>
      <c r="G1" s="19" t="inlineStr">
        <is>
          <t>실제증기압 ea(kPa)</t>
        </is>
      </c>
      <c r="H1" s="19" t="inlineStr">
        <is>
          <t>기울기 Δ(kPa/℃)</t>
        </is>
      </c>
      <c r="I1" s="19" t="inlineStr">
        <is>
          <t>기압 P(kPa)</t>
        </is>
      </c>
      <c r="J1" s="19" t="inlineStr">
        <is>
          <t>건습계 γ(kPa/℃)</t>
        </is>
      </c>
      <c r="K1" s="19" t="inlineStr">
        <is>
          <t>풍속 u₂(m/s)</t>
        </is>
      </c>
      <c r="L1" s="19" t="inlineStr">
        <is>
          <t>dr</t>
        </is>
      </c>
      <c r="M1" s="19" t="inlineStr">
        <is>
          <t>적위 δ(rad)</t>
        </is>
      </c>
      <c r="N1" s="19" t="inlineStr">
        <is>
          <t>일몰각 ωs(rad)</t>
        </is>
      </c>
      <c r="O1" s="19" t="inlineStr">
        <is>
          <t>천문일사 Ra(MJ/m²)</t>
        </is>
      </c>
      <c r="P1" s="19" t="inlineStr">
        <is>
          <t>청천일사 Rso(MJ/m²)</t>
        </is>
      </c>
      <c r="Q1" s="19" t="inlineStr">
        <is>
          <t>일사 Rs(MJ/m²)</t>
        </is>
      </c>
      <c r="R1" s="19" t="inlineStr">
        <is>
          <t>순단파 Rns(MJ/m²)</t>
        </is>
      </c>
      <c r="S1" s="19" t="inlineStr">
        <is>
          <t>순장파 Rnl(MJ/m²)</t>
        </is>
      </c>
      <c r="T1" s="19" t="inlineStr">
        <is>
          <t>순복사 Rn(MJ/m²)</t>
        </is>
      </c>
      <c r="U1" s="1" t="inlineStr">
        <is>
          <t>★ ETo_PM(mm)</t>
        </is>
      </c>
      <c r="V1" s="20" t="inlineStr">
        <is>
          <t>생육단계</t>
        </is>
      </c>
      <c r="W1" s="20" t="inlineStr">
        <is>
          <t>일별 Kc</t>
        </is>
      </c>
      <c r="X1" s="19" t="inlineStr">
        <is>
          <t>증발접시계수 Kp</t>
        </is>
      </c>
      <c r="Y1" s="19" t="inlineStr">
        <is>
          <t>대형증발량(mm)</t>
        </is>
      </c>
      <c r="Z1" s="1" t="inlineStr">
        <is>
          <t>★ ETo_pan(mm)</t>
        </is>
      </c>
      <c r="AA1" s="1" t="inlineStr">
        <is>
          <t>★ ETc_PM(mm)</t>
        </is>
      </c>
      <c r="AB1" s="1" t="inlineStr">
        <is>
          <t>★ ETc_pan(mm)</t>
        </is>
      </c>
    </row>
    <row r="2">
      <c r="A2" s="15">
        <f>원데이터!A2</f>
        <v/>
      </c>
      <c r="B2" s="14">
        <f>원데이터!A2-DATE(YEAR(원데이터!A2),1,1)+1</f>
        <v/>
      </c>
      <c r="C2" s="17">
        <f>(원데이터!B2+원데이터!C2)/2</f>
        <v/>
      </c>
      <c r="D2" s="12">
        <f>0.6108*EXP(17.27*원데이터!B2/(원데이터!B2+237.3))</f>
        <v/>
      </c>
      <c r="E2" s="12">
        <f>0.6108*EXP(17.27*원데이터!C2/(원데이터!C2+237.3))</f>
        <v/>
      </c>
      <c r="F2" s="12">
        <f>(D2+E2)/2</f>
        <v/>
      </c>
      <c r="G2" s="12">
        <f>IF(원데이터!H2&lt;&gt;"",원데이터!H2/10,IF(원데이터!I2&lt;&gt;"",0.6108*EXP(17.27*원데이터!I2/(원데이터!I2+237.3)),원데이터!E2/100*F2))</f>
        <v/>
      </c>
      <c r="H2" s="21">
        <f>4098*(0.6108*EXP(17.27*C2/(C2+237.3)))/(C2+237.3)^2</f>
        <v/>
      </c>
      <c r="I2" s="17">
        <f>IF(원데이터!J2&lt;&gt;"",원데이터!J2/10,101.3*((293-0.0065*설정!$B$3)/293)^5.26)</f>
        <v/>
      </c>
      <c r="J2" s="21">
        <f>0.000665*I2</f>
        <v/>
      </c>
      <c r="K2" s="18">
        <f>원데이터!G2*4.87/LN(67.8*설정!$B$4-5.42)</f>
        <v/>
      </c>
      <c r="L2" s="12">
        <f>1+0.033*COS(2*PI()*B2/365)</f>
        <v/>
      </c>
      <c r="M2" s="21">
        <f>0.409*SIN(2*PI()*B2/365-1.39)</f>
        <v/>
      </c>
      <c r="N2" s="21">
        <f>ACOS(-TAN(RADIANS(설정!$B$2))*TAN(M2))</f>
        <v/>
      </c>
      <c r="O2" s="18">
        <f>(24*60/PI())*0.082*L2*(N2*SIN(RADIANS(설정!$B$2))*SIN(M2)+COS(RADIANS(설정!$B$2))*COS(M2)*SIN(N2))</f>
        <v/>
      </c>
      <c r="P2" s="18">
        <f>(0.75+0.00002*설정!$B$3)*O2</f>
        <v/>
      </c>
      <c r="Q2" s="18">
        <f>IF(원데이터!K2&lt;&gt;"",원데이터!K2,(0.25+0.5*원데이터!L2/(24/PI()*N2))*O2)</f>
        <v/>
      </c>
      <c r="R2" s="18">
        <f>0.77*Q2</f>
        <v/>
      </c>
      <c r="S2" s="18">
        <f>0.000000004903*(((원데이터!B2+273.16)^4+(원데이터!C2+273.16)^4)/2)*(0.34-0.14*SQRT(G2))*(1.35*MIN(Q2/P2,1)-0.35)</f>
        <v/>
      </c>
      <c r="T2" s="18">
        <f>R2-S2</f>
        <v/>
      </c>
      <c r="U2" s="18">
        <f>(0.408*H2*T2+J2*(900/(C2+273))*K2*(F2-G2))/(H2+J2*(1+0.34*K2))</f>
        <v/>
      </c>
      <c r="V2" s="11">
        <f>IF(원데이터!A2-설정!$B$16&lt;0,"발아전",IF(원데이터!A2-설정!$B$16&lt;설정!$B$17,"초기",IF(원데이터!A2-설정!$B$16&lt;설정!$B$17+설정!$B$18,"발육",IF(원데이터!A2-설정!$B$16&lt;설정!$B$17+설정!$B$18+설정!$B$19,"중기",IF(원데이터!A2-설정!$B$16&lt;설정!$B$17+설정!$B$18+설정!$B$19+설정!$B$20,"후기","후기이후")))))</f>
        <v/>
      </c>
      <c r="W2" s="12">
        <f>IF(원데이터!A2-설정!$B$16&lt;0,0,IF(원데이터!A2-설정!$B$16&lt;설정!$B$17,설정!$B$33,IF(원데이터!A2-설정!$B$16&lt;설정!$B$17+설정!$B$18,설정!$B$33+(설정!$B$34-설정!$B$33)*(원데이터!A2-설정!$B$16-설정!$B$17+1)/설정!$B$18,IF(원데이터!A2-설정!$B$16&lt;설정!$B$17+설정!$B$18+설정!$B$19,설정!$B$34,IF(원데이터!A2-설정!$B$16&lt;설정!$B$17+설정!$B$18+설정!$B$19+설정!$B$20,설정!$B$34+(설정!$B$35-설정!$B$34)*(원데이터!A2-설정!$B$16-설정!$B$17-설정!$B$18-설정!$B$19+1)/설정!$B$20,0)))))</f>
        <v/>
      </c>
      <c r="X2" s="12">
        <f>0.108-0.0286*K2+0.0422*LN(설정!$B$5)+0.1434*LN(원데이터!E2)-0.000631*LN(설정!$B$5)^2*LN(원데이터!E2)</f>
        <v/>
      </c>
      <c r="Y2" s="17">
        <f>원데이터!M2</f>
        <v/>
      </c>
      <c r="Z2" s="18">
        <f>X2*Y2</f>
        <v/>
      </c>
      <c r="AA2" s="18">
        <f>U2*W2</f>
        <v/>
      </c>
      <c r="AB2" s="18">
        <f>Z2*W2</f>
        <v/>
      </c>
    </row>
    <row r="3">
      <c r="A3" s="15">
        <f>원데이터!A3</f>
        <v/>
      </c>
      <c r="B3" s="14">
        <f>원데이터!A3-DATE(YEAR(원데이터!A3),1,1)+1</f>
        <v/>
      </c>
      <c r="C3" s="17">
        <f>(원데이터!B3+원데이터!C3)/2</f>
        <v/>
      </c>
      <c r="D3" s="12">
        <f>0.6108*EXP(17.27*원데이터!B3/(원데이터!B3+237.3))</f>
        <v/>
      </c>
      <c r="E3" s="12">
        <f>0.6108*EXP(17.27*원데이터!C3/(원데이터!C3+237.3))</f>
        <v/>
      </c>
      <c r="F3" s="12">
        <f>(D3+E3)/2</f>
        <v/>
      </c>
      <c r="G3" s="12">
        <f>IF(원데이터!H3&lt;&gt;"",원데이터!H3/10,IF(원데이터!I3&lt;&gt;"",0.6108*EXP(17.27*원데이터!I3/(원데이터!I3+237.3)),원데이터!E3/100*F3))</f>
        <v/>
      </c>
      <c r="H3" s="21">
        <f>4098*(0.6108*EXP(17.27*C3/(C3+237.3)))/(C3+237.3)^2</f>
        <v/>
      </c>
      <c r="I3" s="17">
        <f>IF(원데이터!J3&lt;&gt;"",원데이터!J3/10,101.3*((293-0.0065*설정!$B$3)/293)^5.26)</f>
        <v/>
      </c>
      <c r="J3" s="21">
        <f>0.000665*I3</f>
        <v/>
      </c>
      <c r="K3" s="18">
        <f>원데이터!G3*4.87/LN(67.8*설정!$B$4-5.42)</f>
        <v/>
      </c>
      <c r="L3" s="12">
        <f>1+0.033*COS(2*PI()*B3/365)</f>
        <v/>
      </c>
      <c r="M3" s="21">
        <f>0.409*SIN(2*PI()*B3/365-1.39)</f>
        <v/>
      </c>
      <c r="N3" s="21">
        <f>ACOS(-TAN(RADIANS(설정!$B$2))*TAN(M3))</f>
        <v/>
      </c>
      <c r="O3" s="18">
        <f>(24*60/PI())*0.082*L3*(N3*SIN(RADIANS(설정!$B$2))*SIN(M3)+COS(RADIANS(설정!$B$2))*COS(M3)*SIN(N3))</f>
        <v/>
      </c>
      <c r="P3" s="18">
        <f>(0.75+0.00002*설정!$B$3)*O3</f>
        <v/>
      </c>
      <c r="Q3" s="18">
        <f>IF(원데이터!K3&lt;&gt;"",원데이터!K3,(0.25+0.5*원데이터!L3/(24/PI()*N3))*O3)</f>
        <v/>
      </c>
      <c r="R3" s="18">
        <f>0.77*Q3</f>
        <v/>
      </c>
      <c r="S3" s="18">
        <f>0.000000004903*(((원데이터!B3+273.16)^4+(원데이터!C3+273.16)^4)/2)*(0.34-0.14*SQRT(G3))*(1.35*MIN(Q3/P3,1)-0.35)</f>
        <v/>
      </c>
      <c r="T3" s="18">
        <f>R3-S3</f>
        <v/>
      </c>
      <c r="U3" s="18">
        <f>(0.408*H3*T3+J3*(900/(C3+273))*K3*(F3-G3))/(H3+J3*(1+0.34*K3))</f>
        <v/>
      </c>
      <c r="V3" s="11">
        <f>IF(원데이터!A3-설정!$B$16&lt;0,"발아전",IF(원데이터!A3-설정!$B$16&lt;설정!$B$17,"초기",IF(원데이터!A3-설정!$B$16&lt;설정!$B$17+설정!$B$18,"발육",IF(원데이터!A3-설정!$B$16&lt;설정!$B$17+설정!$B$18+설정!$B$19,"중기",IF(원데이터!A3-설정!$B$16&lt;설정!$B$17+설정!$B$18+설정!$B$19+설정!$B$20,"후기","후기이후")))))</f>
        <v/>
      </c>
      <c r="W3" s="12">
        <f>IF(원데이터!A3-설정!$B$16&lt;0,0,IF(원데이터!A3-설정!$B$16&lt;설정!$B$17,설정!$B$33,IF(원데이터!A3-설정!$B$16&lt;설정!$B$17+설정!$B$18,설정!$B$33+(설정!$B$34-설정!$B$33)*(원데이터!A3-설정!$B$16-설정!$B$17+1)/설정!$B$18,IF(원데이터!A3-설정!$B$16&lt;설정!$B$17+설정!$B$18+설정!$B$19,설정!$B$34,IF(원데이터!A3-설정!$B$16&lt;설정!$B$17+설정!$B$18+설정!$B$19+설정!$B$20,설정!$B$34+(설정!$B$35-설정!$B$34)*(원데이터!A3-설정!$B$16-설정!$B$17-설정!$B$18-설정!$B$19+1)/설정!$B$20,0)))))</f>
        <v/>
      </c>
      <c r="X3" s="12">
        <f>0.108-0.0286*K3+0.0422*LN(설정!$B$5)+0.1434*LN(원데이터!E3)-0.000631*LN(설정!$B$5)^2*LN(원데이터!E3)</f>
        <v/>
      </c>
      <c r="Y3" s="17">
        <f>원데이터!M3</f>
        <v/>
      </c>
      <c r="Z3" s="18">
        <f>X3*Y3</f>
        <v/>
      </c>
      <c r="AA3" s="18">
        <f>U3*W3</f>
        <v/>
      </c>
      <c r="AB3" s="18">
        <f>Z3*W3</f>
        <v/>
      </c>
    </row>
    <row r="4">
      <c r="A4" s="15">
        <f>원데이터!A4</f>
        <v/>
      </c>
      <c r="B4" s="14">
        <f>원데이터!A4-DATE(YEAR(원데이터!A4),1,1)+1</f>
        <v/>
      </c>
      <c r="C4" s="17">
        <f>(원데이터!B4+원데이터!C4)/2</f>
        <v/>
      </c>
      <c r="D4" s="12">
        <f>0.6108*EXP(17.27*원데이터!B4/(원데이터!B4+237.3))</f>
        <v/>
      </c>
      <c r="E4" s="12">
        <f>0.6108*EXP(17.27*원데이터!C4/(원데이터!C4+237.3))</f>
        <v/>
      </c>
      <c r="F4" s="12">
        <f>(D4+E4)/2</f>
        <v/>
      </c>
      <c r="G4" s="12">
        <f>IF(원데이터!H4&lt;&gt;"",원데이터!H4/10,IF(원데이터!I4&lt;&gt;"",0.6108*EXP(17.27*원데이터!I4/(원데이터!I4+237.3)),원데이터!E4/100*F4))</f>
        <v/>
      </c>
      <c r="H4" s="21">
        <f>4098*(0.6108*EXP(17.27*C4/(C4+237.3)))/(C4+237.3)^2</f>
        <v/>
      </c>
      <c r="I4" s="17">
        <f>IF(원데이터!J4&lt;&gt;"",원데이터!J4/10,101.3*((293-0.0065*설정!$B$3)/293)^5.26)</f>
        <v/>
      </c>
      <c r="J4" s="21">
        <f>0.000665*I4</f>
        <v/>
      </c>
      <c r="K4" s="18">
        <f>원데이터!G4*4.87/LN(67.8*설정!$B$4-5.42)</f>
        <v/>
      </c>
      <c r="L4" s="12">
        <f>1+0.033*COS(2*PI()*B4/365)</f>
        <v/>
      </c>
      <c r="M4" s="21">
        <f>0.409*SIN(2*PI()*B4/365-1.39)</f>
        <v/>
      </c>
      <c r="N4" s="21">
        <f>ACOS(-TAN(RADIANS(설정!$B$2))*TAN(M4))</f>
        <v/>
      </c>
      <c r="O4" s="18">
        <f>(24*60/PI())*0.082*L4*(N4*SIN(RADIANS(설정!$B$2))*SIN(M4)+COS(RADIANS(설정!$B$2))*COS(M4)*SIN(N4))</f>
        <v/>
      </c>
      <c r="P4" s="18">
        <f>(0.75+0.00002*설정!$B$3)*O4</f>
        <v/>
      </c>
      <c r="Q4" s="18">
        <f>IF(원데이터!K4&lt;&gt;"",원데이터!K4,(0.25+0.5*원데이터!L4/(24/PI()*N4))*O4)</f>
        <v/>
      </c>
      <c r="R4" s="18">
        <f>0.77*Q4</f>
        <v/>
      </c>
      <c r="S4" s="18">
        <f>0.000000004903*(((원데이터!B4+273.16)^4+(원데이터!C4+273.16)^4)/2)*(0.34-0.14*SQRT(G4))*(1.35*MIN(Q4/P4,1)-0.35)</f>
        <v/>
      </c>
      <c r="T4" s="18">
        <f>R4-S4</f>
        <v/>
      </c>
      <c r="U4" s="18">
        <f>(0.408*H4*T4+J4*(900/(C4+273))*K4*(F4-G4))/(H4+J4*(1+0.34*K4))</f>
        <v/>
      </c>
      <c r="V4" s="11">
        <f>IF(원데이터!A4-설정!$B$16&lt;0,"발아전",IF(원데이터!A4-설정!$B$16&lt;설정!$B$17,"초기",IF(원데이터!A4-설정!$B$16&lt;설정!$B$17+설정!$B$18,"발육",IF(원데이터!A4-설정!$B$16&lt;설정!$B$17+설정!$B$18+설정!$B$19,"중기",IF(원데이터!A4-설정!$B$16&lt;설정!$B$17+설정!$B$18+설정!$B$19+설정!$B$20,"후기","후기이후")))))</f>
        <v/>
      </c>
      <c r="W4" s="12">
        <f>IF(원데이터!A4-설정!$B$16&lt;0,0,IF(원데이터!A4-설정!$B$16&lt;설정!$B$17,설정!$B$33,IF(원데이터!A4-설정!$B$16&lt;설정!$B$17+설정!$B$18,설정!$B$33+(설정!$B$34-설정!$B$33)*(원데이터!A4-설정!$B$16-설정!$B$17+1)/설정!$B$18,IF(원데이터!A4-설정!$B$16&lt;설정!$B$17+설정!$B$18+설정!$B$19,설정!$B$34,IF(원데이터!A4-설정!$B$16&lt;설정!$B$17+설정!$B$18+설정!$B$19+설정!$B$20,설정!$B$34+(설정!$B$35-설정!$B$34)*(원데이터!A4-설정!$B$16-설정!$B$17-설정!$B$18-설정!$B$19+1)/설정!$B$20,0)))))</f>
        <v/>
      </c>
      <c r="X4" s="12">
        <f>0.108-0.0286*K4+0.0422*LN(설정!$B$5)+0.1434*LN(원데이터!E4)-0.000631*LN(설정!$B$5)^2*LN(원데이터!E4)</f>
        <v/>
      </c>
      <c r="Y4" s="17">
        <f>원데이터!M4</f>
        <v/>
      </c>
      <c r="Z4" s="18">
        <f>X4*Y4</f>
        <v/>
      </c>
      <c r="AA4" s="18">
        <f>U4*W4</f>
        <v/>
      </c>
      <c r="AB4" s="18">
        <f>Z4*W4</f>
        <v/>
      </c>
    </row>
    <row r="5">
      <c r="A5" s="15">
        <f>원데이터!A5</f>
        <v/>
      </c>
      <c r="B5" s="14">
        <f>원데이터!A5-DATE(YEAR(원데이터!A5),1,1)+1</f>
        <v/>
      </c>
      <c r="C5" s="17">
        <f>(원데이터!B5+원데이터!C5)/2</f>
        <v/>
      </c>
      <c r="D5" s="12">
        <f>0.6108*EXP(17.27*원데이터!B5/(원데이터!B5+237.3))</f>
        <v/>
      </c>
      <c r="E5" s="12">
        <f>0.6108*EXP(17.27*원데이터!C5/(원데이터!C5+237.3))</f>
        <v/>
      </c>
      <c r="F5" s="12">
        <f>(D5+E5)/2</f>
        <v/>
      </c>
      <c r="G5" s="12">
        <f>IF(원데이터!H5&lt;&gt;"",원데이터!H5/10,IF(원데이터!I5&lt;&gt;"",0.6108*EXP(17.27*원데이터!I5/(원데이터!I5+237.3)),원데이터!E5/100*F5))</f>
        <v/>
      </c>
      <c r="H5" s="21">
        <f>4098*(0.6108*EXP(17.27*C5/(C5+237.3)))/(C5+237.3)^2</f>
        <v/>
      </c>
      <c r="I5" s="17">
        <f>IF(원데이터!J5&lt;&gt;"",원데이터!J5/10,101.3*((293-0.0065*설정!$B$3)/293)^5.26)</f>
        <v/>
      </c>
      <c r="J5" s="21">
        <f>0.000665*I5</f>
        <v/>
      </c>
      <c r="K5" s="18">
        <f>원데이터!G5*4.87/LN(67.8*설정!$B$4-5.42)</f>
        <v/>
      </c>
      <c r="L5" s="12">
        <f>1+0.033*COS(2*PI()*B5/365)</f>
        <v/>
      </c>
      <c r="M5" s="21">
        <f>0.409*SIN(2*PI()*B5/365-1.39)</f>
        <v/>
      </c>
      <c r="N5" s="21">
        <f>ACOS(-TAN(RADIANS(설정!$B$2))*TAN(M5))</f>
        <v/>
      </c>
      <c r="O5" s="18">
        <f>(24*60/PI())*0.082*L5*(N5*SIN(RADIANS(설정!$B$2))*SIN(M5)+COS(RADIANS(설정!$B$2))*COS(M5)*SIN(N5))</f>
        <v/>
      </c>
      <c r="P5" s="18">
        <f>(0.75+0.00002*설정!$B$3)*O5</f>
        <v/>
      </c>
      <c r="Q5" s="18">
        <f>IF(원데이터!K5&lt;&gt;"",원데이터!K5,(0.25+0.5*원데이터!L5/(24/PI()*N5))*O5)</f>
        <v/>
      </c>
      <c r="R5" s="18">
        <f>0.77*Q5</f>
        <v/>
      </c>
      <c r="S5" s="18">
        <f>0.000000004903*(((원데이터!B5+273.16)^4+(원데이터!C5+273.16)^4)/2)*(0.34-0.14*SQRT(G5))*(1.35*MIN(Q5/P5,1)-0.35)</f>
        <v/>
      </c>
      <c r="T5" s="18">
        <f>R5-S5</f>
        <v/>
      </c>
      <c r="U5" s="18">
        <f>(0.408*H5*T5+J5*(900/(C5+273))*K5*(F5-G5))/(H5+J5*(1+0.34*K5))</f>
        <v/>
      </c>
      <c r="V5" s="11">
        <f>IF(원데이터!A5-설정!$B$16&lt;0,"발아전",IF(원데이터!A5-설정!$B$16&lt;설정!$B$17,"초기",IF(원데이터!A5-설정!$B$16&lt;설정!$B$17+설정!$B$18,"발육",IF(원데이터!A5-설정!$B$16&lt;설정!$B$17+설정!$B$18+설정!$B$19,"중기",IF(원데이터!A5-설정!$B$16&lt;설정!$B$17+설정!$B$18+설정!$B$19+설정!$B$20,"후기","후기이후")))))</f>
        <v/>
      </c>
      <c r="W5" s="12">
        <f>IF(원데이터!A5-설정!$B$16&lt;0,0,IF(원데이터!A5-설정!$B$16&lt;설정!$B$17,설정!$B$33,IF(원데이터!A5-설정!$B$16&lt;설정!$B$17+설정!$B$18,설정!$B$33+(설정!$B$34-설정!$B$33)*(원데이터!A5-설정!$B$16-설정!$B$17+1)/설정!$B$18,IF(원데이터!A5-설정!$B$16&lt;설정!$B$17+설정!$B$18+설정!$B$19,설정!$B$34,IF(원데이터!A5-설정!$B$16&lt;설정!$B$17+설정!$B$18+설정!$B$19+설정!$B$20,설정!$B$34+(설정!$B$35-설정!$B$34)*(원데이터!A5-설정!$B$16-설정!$B$17-설정!$B$18-설정!$B$19+1)/설정!$B$20,0)))))</f>
        <v/>
      </c>
      <c r="X5" s="12">
        <f>0.108-0.0286*K5+0.0422*LN(설정!$B$5)+0.1434*LN(원데이터!E5)-0.000631*LN(설정!$B$5)^2*LN(원데이터!E5)</f>
        <v/>
      </c>
      <c r="Y5" s="17">
        <f>원데이터!M5</f>
        <v/>
      </c>
      <c r="Z5" s="18">
        <f>X5*Y5</f>
        <v/>
      </c>
      <c r="AA5" s="18">
        <f>U5*W5</f>
        <v/>
      </c>
      <c r="AB5" s="18">
        <f>Z5*W5</f>
        <v/>
      </c>
    </row>
    <row r="6">
      <c r="A6" s="15">
        <f>원데이터!A6</f>
        <v/>
      </c>
      <c r="B6" s="14">
        <f>원데이터!A6-DATE(YEAR(원데이터!A6),1,1)+1</f>
        <v/>
      </c>
      <c r="C6" s="17">
        <f>(원데이터!B6+원데이터!C6)/2</f>
        <v/>
      </c>
      <c r="D6" s="12">
        <f>0.6108*EXP(17.27*원데이터!B6/(원데이터!B6+237.3))</f>
        <v/>
      </c>
      <c r="E6" s="12">
        <f>0.6108*EXP(17.27*원데이터!C6/(원데이터!C6+237.3))</f>
        <v/>
      </c>
      <c r="F6" s="12">
        <f>(D6+E6)/2</f>
        <v/>
      </c>
      <c r="G6" s="12">
        <f>IF(원데이터!H6&lt;&gt;"",원데이터!H6/10,IF(원데이터!I6&lt;&gt;"",0.6108*EXP(17.27*원데이터!I6/(원데이터!I6+237.3)),원데이터!E6/100*F6))</f>
        <v/>
      </c>
      <c r="H6" s="21">
        <f>4098*(0.6108*EXP(17.27*C6/(C6+237.3)))/(C6+237.3)^2</f>
        <v/>
      </c>
      <c r="I6" s="17">
        <f>IF(원데이터!J6&lt;&gt;"",원데이터!J6/10,101.3*((293-0.0065*설정!$B$3)/293)^5.26)</f>
        <v/>
      </c>
      <c r="J6" s="21">
        <f>0.000665*I6</f>
        <v/>
      </c>
      <c r="K6" s="18">
        <f>원데이터!G6*4.87/LN(67.8*설정!$B$4-5.42)</f>
        <v/>
      </c>
      <c r="L6" s="12">
        <f>1+0.033*COS(2*PI()*B6/365)</f>
        <v/>
      </c>
      <c r="M6" s="21">
        <f>0.409*SIN(2*PI()*B6/365-1.39)</f>
        <v/>
      </c>
      <c r="N6" s="21">
        <f>ACOS(-TAN(RADIANS(설정!$B$2))*TAN(M6))</f>
        <v/>
      </c>
      <c r="O6" s="18">
        <f>(24*60/PI())*0.082*L6*(N6*SIN(RADIANS(설정!$B$2))*SIN(M6)+COS(RADIANS(설정!$B$2))*COS(M6)*SIN(N6))</f>
        <v/>
      </c>
      <c r="P6" s="18">
        <f>(0.75+0.00002*설정!$B$3)*O6</f>
        <v/>
      </c>
      <c r="Q6" s="18">
        <f>IF(원데이터!K6&lt;&gt;"",원데이터!K6,(0.25+0.5*원데이터!L6/(24/PI()*N6))*O6)</f>
        <v/>
      </c>
      <c r="R6" s="18">
        <f>0.77*Q6</f>
        <v/>
      </c>
      <c r="S6" s="18">
        <f>0.000000004903*(((원데이터!B6+273.16)^4+(원데이터!C6+273.16)^4)/2)*(0.34-0.14*SQRT(G6))*(1.35*MIN(Q6/P6,1)-0.35)</f>
        <v/>
      </c>
      <c r="T6" s="18">
        <f>R6-S6</f>
        <v/>
      </c>
      <c r="U6" s="18">
        <f>(0.408*H6*T6+J6*(900/(C6+273))*K6*(F6-G6))/(H6+J6*(1+0.34*K6))</f>
        <v/>
      </c>
      <c r="V6" s="11">
        <f>IF(원데이터!A6-설정!$B$16&lt;0,"발아전",IF(원데이터!A6-설정!$B$16&lt;설정!$B$17,"초기",IF(원데이터!A6-설정!$B$16&lt;설정!$B$17+설정!$B$18,"발육",IF(원데이터!A6-설정!$B$16&lt;설정!$B$17+설정!$B$18+설정!$B$19,"중기",IF(원데이터!A6-설정!$B$16&lt;설정!$B$17+설정!$B$18+설정!$B$19+설정!$B$20,"후기","후기이후")))))</f>
        <v/>
      </c>
      <c r="W6" s="12">
        <f>IF(원데이터!A6-설정!$B$16&lt;0,0,IF(원데이터!A6-설정!$B$16&lt;설정!$B$17,설정!$B$33,IF(원데이터!A6-설정!$B$16&lt;설정!$B$17+설정!$B$18,설정!$B$33+(설정!$B$34-설정!$B$33)*(원데이터!A6-설정!$B$16-설정!$B$17+1)/설정!$B$18,IF(원데이터!A6-설정!$B$16&lt;설정!$B$17+설정!$B$18+설정!$B$19,설정!$B$34,IF(원데이터!A6-설정!$B$16&lt;설정!$B$17+설정!$B$18+설정!$B$19+설정!$B$20,설정!$B$34+(설정!$B$35-설정!$B$34)*(원데이터!A6-설정!$B$16-설정!$B$17-설정!$B$18-설정!$B$19+1)/설정!$B$20,0)))))</f>
        <v/>
      </c>
      <c r="X6" s="12">
        <f>0.108-0.0286*K6+0.0422*LN(설정!$B$5)+0.1434*LN(원데이터!E6)-0.000631*LN(설정!$B$5)^2*LN(원데이터!E6)</f>
        <v/>
      </c>
      <c r="Y6" s="17">
        <f>원데이터!M6</f>
        <v/>
      </c>
      <c r="Z6" s="18">
        <f>X6*Y6</f>
        <v/>
      </c>
      <c r="AA6" s="18">
        <f>U6*W6</f>
        <v/>
      </c>
      <c r="AB6" s="18">
        <f>Z6*W6</f>
        <v/>
      </c>
    </row>
    <row r="7">
      <c r="A7" s="15">
        <f>원데이터!A7</f>
        <v/>
      </c>
      <c r="B7" s="14">
        <f>원데이터!A7-DATE(YEAR(원데이터!A7),1,1)+1</f>
        <v/>
      </c>
      <c r="C7" s="17">
        <f>(원데이터!B7+원데이터!C7)/2</f>
        <v/>
      </c>
      <c r="D7" s="12">
        <f>0.6108*EXP(17.27*원데이터!B7/(원데이터!B7+237.3))</f>
        <v/>
      </c>
      <c r="E7" s="12">
        <f>0.6108*EXP(17.27*원데이터!C7/(원데이터!C7+237.3))</f>
        <v/>
      </c>
      <c r="F7" s="12">
        <f>(D7+E7)/2</f>
        <v/>
      </c>
      <c r="G7" s="12">
        <f>IF(원데이터!H7&lt;&gt;"",원데이터!H7/10,IF(원데이터!I7&lt;&gt;"",0.6108*EXP(17.27*원데이터!I7/(원데이터!I7+237.3)),원데이터!E7/100*F7))</f>
        <v/>
      </c>
      <c r="H7" s="21">
        <f>4098*(0.6108*EXP(17.27*C7/(C7+237.3)))/(C7+237.3)^2</f>
        <v/>
      </c>
      <c r="I7" s="17">
        <f>IF(원데이터!J7&lt;&gt;"",원데이터!J7/10,101.3*((293-0.0065*설정!$B$3)/293)^5.26)</f>
        <v/>
      </c>
      <c r="J7" s="21">
        <f>0.000665*I7</f>
        <v/>
      </c>
      <c r="K7" s="18">
        <f>원데이터!G7*4.87/LN(67.8*설정!$B$4-5.42)</f>
        <v/>
      </c>
      <c r="L7" s="12">
        <f>1+0.033*COS(2*PI()*B7/365)</f>
        <v/>
      </c>
      <c r="M7" s="21">
        <f>0.409*SIN(2*PI()*B7/365-1.39)</f>
        <v/>
      </c>
      <c r="N7" s="21">
        <f>ACOS(-TAN(RADIANS(설정!$B$2))*TAN(M7))</f>
        <v/>
      </c>
      <c r="O7" s="18">
        <f>(24*60/PI())*0.082*L7*(N7*SIN(RADIANS(설정!$B$2))*SIN(M7)+COS(RADIANS(설정!$B$2))*COS(M7)*SIN(N7))</f>
        <v/>
      </c>
      <c r="P7" s="18">
        <f>(0.75+0.00002*설정!$B$3)*O7</f>
        <v/>
      </c>
      <c r="Q7" s="18">
        <f>IF(원데이터!K7&lt;&gt;"",원데이터!K7,(0.25+0.5*원데이터!L7/(24/PI()*N7))*O7)</f>
        <v/>
      </c>
      <c r="R7" s="18">
        <f>0.77*Q7</f>
        <v/>
      </c>
      <c r="S7" s="18">
        <f>0.000000004903*(((원데이터!B7+273.16)^4+(원데이터!C7+273.16)^4)/2)*(0.34-0.14*SQRT(G7))*(1.35*MIN(Q7/P7,1)-0.35)</f>
        <v/>
      </c>
      <c r="T7" s="18">
        <f>R7-S7</f>
        <v/>
      </c>
      <c r="U7" s="18">
        <f>(0.408*H7*T7+J7*(900/(C7+273))*K7*(F7-G7))/(H7+J7*(1+0.34*K7))</f>
        <v/>
      </c>
      <c r="V7" s="11">
        <f>IF(원데이터!A7-설정!$B$16&lt;0,"발아전",IF(원데이터!A7-설정!$B$16&lt;설정!$B$17,"초기",IF(원데이터!A7-설정!$B$16&lt;설정!$B$17+설정!$B$18,"발육",IF(원데이터!A7-설정!$B$16&lt;설정!$B$17+설정!$B$18+설정!$B$19,"중기",IF(원데이터!A7-설정!$B$16&lt;설정!$B$17+설정!$B$18+설정!$B$19+설정!$B$20,"후기","후기이후")))))</f>
        <v/>
      </c>
      <c r="W7" s="12">
        <f>IF(원데이터!A7-설정!$B$16&lt;0,0,IF(원데이터!A7-설정!$B$16&lt;설정!$B$17,설정!$B$33,IF(원데이터!A7-설정!$B$16&lt;설정!$B$17+설정!$B$18,설정!$B$33+(설정!$B$34-설정!$B$33)*(원데이터!A7-설정!$B$16-설정!$B$17+1)/설정!$B$18,IF(원데이터!A7-설정!$B$16&lt;설정!$B$17+설정!$B$18+설정!$B$19,설정!$B$34,IF(원데이터!A7-설정!$B$16&lt;설정!$B$17+설정!$B$18+설정!$B$19+설정!$B$20,설정!$B$34+(설정!$B$35-설정!$B$34)*(원데이터!A7-설정!$B$16-설정!$B$17-설정!$B$18-설정!$B$19+1)/설정!$B$20,0)))))</f>
        <v/>
      </c>
      <c r="X7" s="12">
        <f>0.108-0.0286*K7+0.0422*LN(설정!$B$5)+0.1434*LN(원데이터!E7)-0.000631*LN(설정!$B$5)^2*LN(원데이터!E7)</f>
        <v/>
      </c>
      <c r="Y7" s="17">
        <f>원데이터!M7</f>
        <v/>
      </c>
      <c r="Z7" s="18">
        <f>X7*Y7</f>
        <v/>
      </c>
      <c r="AA7" s="18">
        <f>U7*W7</f>
        <v/>
      </c>
      <c r="AB7" s="18">
        <f>Z7*W7</f>
        <v/>
      </c>
    </row>
    <row r="8">
      <c r="A8" s="15">
        <f>원데이터!A8</f>
        <v/>
      </c>
      <c r="B8" s="14">
        <f>원데이터!A8-DATE(YEAR(원데이터!A8),1,1)+1</f>
        <v/>
      </c>
      <c r="C8" s="17">
        <f>(원데이터!B8+원데이터!C8)/2</f>
        <v/>
      </c>
      <c r="D8" s="12">
        <f>0.6108*EXP(17.27*원데이터!B8/(원데이터!B8+237.3))</f>
        <v/>
      </c>
      <c r="E8" s="12">
        <f>0.6108*EXP(17.27*원데이터!C8/(원데이터!C8+237.3))</f>
        <v/>
      </c>
      <c r="F8" s="12">
        <f>(D8+E8)/2</f>
        <v/>
      </c>
      <c r="G8" s="12">
        <f>IF(원데이터!H8&lt;&gt;"",원데이터!H8/10,IF(원데이터!I8&lt;&gt;"",0.6108*EXP(17.27*원데이터!I8/(원데이터!I8+237.3)),원데이터!E8/100*F8))</f>
        <v/>
      </c>
      <c r="H8" s="21">
        <f>4098*(0.6108*EXP(17.27*C8/(C8+237.3)))/(C8+237.3)^2</f>
        <v/>
      </c>
      <c r="I8" s="17">
        <f>IF(원데이터!J8&lt;&gt;"",원데이터!J8/10,101.3*((293-0.0065*설정!$B$3)/293)^5.26)</f>
        <v/>
      </c>
      <c r="J8" s="21">
        <f>0.000665*I8</f>
        <v/>
      </c>
      <c r="K8" s="18">
        <f>원데이터!G8*4.87/LN(67.8*설정!$B$4-5.42)</f>
        <v/>
      </c>
      <c r="L8" s="12">
        <f>1+0.033*COS(2*PI()*B8/365)</f>
        <v/>
      </c>
      <c r="M8" s="21">
        <f>0.409*SIN(2*PI()*B8/365-1.39)</f>
        <v/>
      </c>
      <c r="N8" s="21">
        <f>ACOS(-TAN(RADIANS(설정!$B$2))*TAN(M8))</f>
        <v/>
      </c>
      <c r="O8" s="18">
        <f>(24*60/PI())*0.082*L8*(N8*SIN(RADIANS(설정!$B$2))*SIN(M8)+COS(RADIANS(설정!$B$2))*COS(M8)*SIN(N8))</f>
        <v/>
      </c>
      <c r="P8" s="18">
        <f>(0.75+0.00002*설정!$B$3)*O8</f>
        <v/>
      </c>
      <c r="Q8" s="18">
        <f>IF(원데이터!K8&lt;&gt;"",원데이터!K8,(0.25+0.5*원데이터!L8/(24/PI()*N8))*O8)</f>
        <v/>
      </c>
      <c r="R8" s="18">
        <f>0.77*Q8</f>
        <v/>
      </c>
      <c r="S8" s="18">
        <f>0.000000004903*(((원데이터!B8+273.16)^4+(원데이터!C8+273.16)^4)/2)*(0.34-0.14*SQRT(G8))*(1.35*MIN(Q8/P8,1)-0.35)</f>
        <v/>
      </c>
      <c r="T8" s="18">
        <f>R8-S8</f>
        <v/>
      </c>
      <c r="U8" s="18">
        <f>(0.408*H8*T8+J8*(900/(C8+273))*K8*(F8-G8))/(H8+J8*(1+0.34*K8))</f>
        <v/>
      </c>
      <c r="V8" s="11">
        <f>IF(원데이터!A8-설정!$B$16&lt;0,"발아전",IF(원데이터!A8-설정!$B$16&lt;설정!$B$17,"초기",IF(원데이터!A8-설정!$B$16&lt;설정!$B$17+설정!$B$18,"발육",IF(원데이터!A8-설정!$B$16&lt;설정!$B$17+설정!$B$18+설정!$B$19,"중기",IF(원데이터!A8-설정!$B$16&lt;설정!$B$17+설정!$B$18+설정!$B$19+설정!$B$20,"후기","후기이후")))))</f>
        <v/>
      </c>
      <c r="W8" s="12">
        <f>IF(원데이터!A8-설정!$B$16&lt;0,0,IF(원데이터!A8-설정!$B$16&lt;설정!$B$17,설정!$B$33,IF(원데이터!A8-설정!$B$16&lt;설정!$B$17+설정!$B$18,설정!$B$33+(설정!$B$34-설정!$B$33)*(원데이터!A8-설정!$B$16-설정!$B$17+1)/설정!$B$18,IF(원데이터!A8-설정!$B$16&lt;설정!$B$17+설정!$B$18+설정!$B$19,설정!$B$34,IF(원데이터!A8-설정!$B$16&lt;설정!$B$17+설정!$B$18+설정!$B$19+설정!$B$20,설정!$B$34+(설정!$B$35-설정!$B$34)*(원데이터!A8-설정!$B$16-설정!$B$17-설정!$B$18-설정!$B$19+1)/설정!$B$20,0)))))</f>
        <v/>
      </c>
      <c r="X8" s="12">
        <f>0.108-0.0286*K8+0.0422*LN(설정!$B$5)+0.1434*LN(원데이터!E8)-0.000631*LN(설정!$B$5)^2*LN(원데이터!E8)</f>
        <v/>
      </c>
      <c r="Y8" s="17">
        <f>원데이터!M8</f>
        <v/>
      </c>
      <c r="Z8" s="18">
        <f>X8*Y8</f>
        <v/>
      </c>
      <c r="AA8" s="18">
        <f>U8*W8</f>
        <v/>
      </c>
      <c r="AB8" s="18">
        <f>Z8*W8</f>
        <v/>
      </c>
    </row>
    <row r="9">
      <c r="A9" s="15">
        <f>원데이터!A9</f>
        <v/>
      </c>
      <c r="B9" s="14">
        <f>원데이터!A9-DATE(YEAR(원데이터!A9),1,1)+1</f>
        <v/>
      </c>
      <c r="C9" s="17">
        <f>(원데이터!B9+원데이터!C9)/2</f>
        <v/>
      </c>
      <c r="D9" s="12">
        <f>0.6108*EXP(17.27*원데이터!B9/(원데이터!B9+237.3))</f>
        <v/>
      </c>
      <c r="E9" s="12">
        <f>0.6108*EXP(17.27*원데이터!C9/(원데이터!C9+237.3))</f>
        <v/>
      </c>
      <c r="F9" s="12">
        <f>(D9+E9)/2</f>
        <v/>
      </c>
      <c r="G9" s="12">
        <f>IF(원데이터!H9&lt;&gt;"",원데이터!H9/10,IF(원데이터!I9&lt;&gt;"",0.6108*EXP(17.27*원데이터!I9/(원데이터!I9+237.3)),원데이터!E9/100*F9))</f>
        <v/>
      </c>
      <c r="H9" s="21">
        <f>4098*(0.6108*EXP(17.27*C9/(C9+237.3)))/(C9+237.3)^2</f>
        <v/>
      </c>
      <c r="I9" s="17">
        <f>IF(원데이터!J9&lt;&gt;"",원데이터!J9/10,101.3*((293-0.0065*설정!$B$3)/293)^5.26)</f>
        <v/>
      </c>
      <c r="J9" s="21">
        <f>0.000665*I9</f>
        <v/>
      </c>
      <c r="K9" s="18">
        <f>원데이터!G9*4.87/LN(67.8*설정!$B$4-5.42)</f>
        <v/>
      </c>
      <c r="L9" s="12">
        <f>1+0.033*COS(2*PI()*B9/365)</f>
        <v/>
      </c>
      <c r="M9" s="21">
        <f>0.409*SIN(2*PI()*B9/365-1.39)</f>
        <v/>
      </c>
      <c r="N9" s="21">
        <f>ACOS(-TAN(RADIANS(설정!$B$2))*TAN(M9))</f>
        <v/>
      </c>
      <c r="O9" s="18">
        <f>(24*60/PI())*0.082*L9*(N9*SIN(RADIANS(설정!$B$2))*SIN(M9)+COS(RADIANS(설정!$B$2))*COS(M9)*SIN(N9))</f>
        <v/>
      </c>
      <c r="P9" s="18">
        <f>(0.75+0.00002*설정!$B$3)*O9</f>
        <v/>
      </c>
      <c r="Q9" s="18">
        <f>IF(원데이터!K9&lt;&gt;"",원데이터!K9,(0.25+0.5*원데이터!L9/(24/PI()*N9))*O9)</f>
        <v/>
      </c>
      <c r="R9" s="18">
        <f>0.77*Q9</f>
        <v/>
      </c>
      <c r="S9" s="18">
        <f>0.000000004903*(((원데이터!B9+273.16)^4+(원데이터!C9+273.16)^4)/2)*(0.34-0.14*SQRT(G9))*(1.35*MIN(Q9/P9,1)-0.35)</f>
        <v/>
      </c>
      <c r="T9" s="18">
        <f>R9-S9</f>
        <v/>
      </c>
      <c r="U9" s="18">
        <f>(0.408*H9*T9+J9*(900/(C9+273))*K9*(F9-G9))/(H9+J9*(1+0.34*K9))</f>
        <v/>
      </c>
      <c r="V9" s="11">
        <f>IF(원데이터!A9-설정!$B$16&lt;0,"발아전",IF(원데이터!A9-설정!$B$16&lt;설정!$B$17,"초기",IF(원데이터!A9-설정!$B$16&lt;설정!$B$17+설정!$B$18,"발육",IF(원데이터!A9-설정!$B$16&lt;설정!$B$17+설정!$B$18+설정!$B$19,"중기",IF(원데이터!A9-설정!$B$16&lt;설정!$B$17+설정!$B$18+설정!$B$19+설정!$B$20,"후기","후기이후")))))</f>
        <v/>
      </c>
      <c r="W9" s="12">
        <f>IF(원데이터!A9-설정!$B$16&lt;0,0,IF(원데이터!A9-설정!$B$16&lt;설정!$B$17,설정!$B$33,IF(원데이터!A9-설정!$B$16&lt;설정!$B$17+설정!$B$18,설정!$B$33+(설정!$B$34-설정!$B$33)*(원데이터!A9-설정!$B$16-설정!$B$17+1)/설정!$B$18,IF(원데이터!A9-설정!$B$16&lt;설정!$B$17+설정!$B$18+설정!$B$19,설정!$B$34,IF(원데이터!A9-설정!$B$16&lt;설정!$B$17+설정!$B$18+설정!$B$19+설정!$B$20,설정!$B$34+(설정!$B$35-설정!$B$34)*(원데이터!A9-설정!$B$16-설정!$B$17-설정!$B$18-설정!$B$19+1)/설정!$B$20,0)))))</f>
        <v/>
      </c>
      <c r="X9" s="12">
        <f>0.108-0.0286*K9+0.0422*LN(설정!$B$5)+0.1434*LN(원데이터!E9)-0.000631*LN(설정!$B$5)^2*LN(원데이터!E9)</f>
        <v/>
      </c>
      <c r="Y9" s="17">
        <f>원데이터!M9</f>
        <v/>
      </c>
      <c r="Z9" s="18">
        <f>X9*Y9</f>
        <v/>
      </c>
      <c r="AA9" s="18">
        <f>U9*W9</f>
        <v/>
      </c>
      <c r="AB9" s="18">
        <f>Z9*W9</f>
        <v/>
      </c>
    </row>
    <row r="10">
      <c r="A10" s="15">
        <f>원데이터!A10</f>
        <v/>
      </c>
      <c r="B10" s="14">
        <f>원데이터!A10-DATE(YEAR(원데이터!A10),1,1)+1</f>
        <v/>
      </c>
      <c r="C10" s="17">
        <f>(원데이터!B10+원데이터!C10)/2</f>
        <v/>
      </c>
      <c r="D10" s="12">
        <f>0.6108*EXP(17.27*원데이터!B10/(원데이터!B10+237.3))</f>
        <v/>
      </c>
      <c r="E10" s="12">
        <f>0.6108*EXP(17.27*원데이터!C10/(원데이터!C10+237.3))</f>
        <v/>
      </c>
      <c r="F10" s="12">
        <f>(D10+E10)/2</f>
        <v/>
      </c>
      <c r="G10" s="12">
        <f>IF(원데이터!H10&lt;&gt;"",원데이터!H10/10,IF(원데이터!I10&lt;&gt;"",0.6108*EXP(17.27*원데이터!I10/(원데이터!I10+237.3)),원데이터!E10/100*F10))</f>
        <v/>
      </c>
      <c r="H10" s="21">
        <f>4098*(0.6108*EXP(17.27*C10/(C10+237.3)))/(C10+237.3)^2</f>
        <v/>
      </c>
      <c r="I10" s="17">
        <f>IF(원데이터!J10&lt;&gt;"",원데이터!J10/10,101.3*((293-0.0065*설정!$B$3)/293)^5.26)</f>
        <v/>
      </c>
      <c r="J10" s="21">
        <f>0.000665*I10</f>
        <v/>
      </c>
      <c r="K10" s="18">
        <f>원데이터!G10*4.87/LN(67.8*설정!$B$4-5.42)</f>
        <v/>
      </c>
      <c r="L10" s="12">
        <f>1+0.033*COS(2*PI()*B10/365)</f>
        <v/>
      </c>
      <c r="M10" s="21">
        <f>0.409*SIN(2*PI()*B10/365-1.39)</f>
        <v/>
      </c>
      <c r="N10" s="21">
        <f>ACOS(-TAN(RADIANS(설정!$B$2))*TAN(M10))</f>
        <v/>
      </c>
      <c r="O10" s="18">
        <f>(24*60/PI())*0.082*L10*(N10*SIN(RADIANS(설정!$B$2))*SIN(M10)+COS(RADIANS(설정!$B$2))*COS(M10)*SIN(N10))</f>
        <v/>
      </c>
      <c r="P10" s="18">
        <f>(0.75+0.00002*설정!$B$3)*O10</f>
        <v/>
      </c>
      <c r="Q10" s="18">
        <f>IF(원데이터!K10&lt;&gt;"",원데이터!K10,(0.25+0.5*원데이터!L10/(24/PI()*N10))*O10)</f>
        <v/>
      </c>
      <c r="R10" s="18">
        <f>0.77*Q10</f>
        <v/>
      </c>
      <c r="S10" s="18">
        <f>0.000000004903*(((원데이터!B10+273.16)^4+(원데이터!C10+273.16)^4)/2)*(0.34-0.14*SQRT(G10))*(1.35*MIN(Q10/P10,1)-0.35)</f>
        <v/>
      </c>
      <c r="T10" s="18">
        <f>R10-S10</f>
        <v/>
      </c>
      <c r="U10" s="18">
        <f>(0.408*H10*T10+J10*(900/(C10+273))*K10*(F10-G10))/(H10+J10*(1+0.34*K10))</f>
        <v/>
      </c>
      <c r="V10" s="11">
        <f>IF(원데이터!A10-설정!$B$16&lt;0,"발아전",IF(원데이터!A10-설정!$B$16&lt;설정!$B$17,"초기",IF(원데이터!A10-설정!$B$16&lt;설정!$B$17+설정!$B$18,"발육",IF(원데이터!A10-설정!$B$16&lt;설정!$B$17+설정!$B$18+설정!$B$19,"중기",IF(원데이터!A10-설정!$B$16&lt;설정!$B$17+설정!$B$18+설정!$B$19+설정!$B$20,"후기","후기이후")))))</f>
        <v/>
      </c>
      <c r="W10" s="12">
        <f>IF(원데이터!A10-설정!$B$16&lt;0,0,IF(원데이터!A10-설정!$B$16&lt;설정!$B$17,설정!$B$33,IF(원데이터!A10-설정!$B$16&lt;설정!$B$17+설정!$B$18,설정!$B$33+(설정!$B$34-설정!$B$33)*(원데이터!A10-설정!$B$16-설정!$B$17+1)/설정!$B$18,IF(원데이터!A10-설정!$B$16&lt;설정!$B$17+설정!$B$18+설정!$B$19,설정!$B$34,IF(원데이터!A10-설정!$B$16&lt;설정!$B$17+설정!$B$18+설정!$B$19+설정!$B$20,설정!$B$34+(설정!$B$35-설정!$B$34)*(원데이터!A10-설정!$B$16-설정!$B$17-설정!$B$18-설정!$B$19+1)/설정!$B$20,0)))))</f>
        <v/>
      </c>
      <c r="X10" s="12">
        <f>0.108-0.0286*K10+0.0422*LN(설정!$B$5)+0.1434*LN(원데이터!E10)-0.000631*LN(설정!$B$5)^2*LN(원데이터!E10)</f>
        <v/>
      </c>
      <c r="Y10" s="17">
        <f>원데이터!M10</f>
        <v/>
      </c>
      <c r="Z10" s="18">
        <f>X10*Y10</f>
        <v/>
      </c>
      <c r="AA10" s="18">
        <f>U10*W10</f>
        <v/>
      </c>
      <c r="AB10" s="18">
        <f>Z10*W10</f>
        <v/>
      </c>
    </row>
    <row r="11">
      <c r="A11" s="15">
        <f>원데이터!A11</f>
        <v/>
      </c>
      <c r="B11" s="14">
        <f>원데이터!A11-DATE(YEAR(원데이터!A11),1,1)+1</f>
        <v/>
      </c>
      <c r="C11" s="17">
        <f>(원데이터!B11+원데이터!C11)/2</f>
        <v/>
      </c>
      <c r="D11" s="12">
        <f>0.6108*EXP(17.27*원데이터!B11/(원데이터!B11+237.3))</f>
        <v/>
      </c>
      <c r="E11" s="12">
        <f>0.6108*EXP(17.27*원데이터!C11/(원데이터!C11+237.3))</f>
        <v/>
      </c>
      <c r="F11" s="12">
        <f>(D11+E11)/2</f>
        <v/>
      </c>
      <c r="G11" s="12">
        <f>IF(원데이터!H11&lt;&gt;"",원데이터!H11/10,IF(원데이터!I11&lt;&gt;"",0.6108*EXP(17.27*원데이터!I11/(원데이터!I11+237.3)),원데이터!E11/100*F11))</f>
        <v/>
      </c>
      <c r="H11" s="21">
        <f>4098*(0.6108*EXP(17.27*C11/(C11+237.3)))/(C11+237.3)^2</f>
        <v/>
      </c>
      <c r="I11" s="17">
        <f>IF(원데이터!J11&lt;&gt;"",원데이터!J11/10,101.3*((293-0.0065*설정!$B$3)/293)^5.26)</f>
        <v/>
      </c>
      <c r="J11" s="21">
        <f>0.000665*I11</f>
        <v/>
      </c>
      <c r="K11" s="18">
        <f>원데이터!G11*4.87/LN(67.8*설정!$B$4-5.42)</f>
        <v/>
      </c>
      <c r="L11" s="12">
        <f>1+0.033*COS(2*PI()*B11/365)</f>
        <v/>
      </c>
      <c r="M11" s="21">
        <f>0.409*SIN(2*PI()*B11/365-1.39)</f>
        <v/>
      </c>
      <c r="N11" s="21">
        <f>ACOS(-TAN(RADIANS(설정!$B$2))*TAN(M11))</f>
        <v/>
      </c>
      <c r="O11" s="18">
        <f>(24*60/PI())*0.082*L11*(N11*SIN(RADIANS(설정!$B$2))*SIN(M11)+COS(RADIANS(설정!$B$2))*COS(M11)*SIN(N11))</f>
        <v/>
      </c>
      <c r="P11" s="18">
        <f>(0.75+0.00002*설정!$B$3)*O11</f>
        <v/>
      </c>
      <c r="Q11" s="18">
        <f>IF(원데이터!K11&lt;&gt;"",원데이터!K11,(0.25+0.5*원데이터!L11/(24/PI()*N11))*O11)</f>
        <v/>
      </c>
      <c r="R11" s="18">
        <f>0.77*Q11</f>
        <v/>
      </c>
      <c r="S11" s="18">
        <f>0.000000004903*(((원데이터!B11+273.16)^4+(원데이터!C11+273.16)^4)/2)*(0.34-0.14*SQRT(G11))*(1.35*MIN(Q11/P11,1)-0.35)</f>
        <v/>
      </c>
      <c r="T11" s="18">
        <f>R11-S11</f>
        <v/>
      </c>
      <c r="U11" s="18">
        <f>(0.408*H11*T11+J11*(900/(C11+273))*K11*(F11-G11))/(H11+J11*(1+0.34*K11))</f>
        <v/>
      </c>
      <c r="V11" s="11">
        <f>IF(원데이터!A11-설정!$B$16&lt;0,"발아전",IF(원데이터!A11-설정!$B$16&lt;설정!$B$17,"초기",IF(원데이터!A11-설정!$B$16&lt;설정!$B$17+설정!$B$18,"발육",IF(원데이터!A11-설정!$B$16&lt;설정!$B$17+설정!$B$18+설정!$B$19,"중기",IF(원데이터!A11-설정!$B$16&lt;설정!$B$17+설정!$B$18+설정!$B$19+설정!$B$20,"후기","후기이후")))))</f>
        <v/>
      </c>
      <c r="W11" s="12">
        <f>IF(원데이터!A11-설정!$B$16&lt;0,0,IF(원데이터!A11-설정!$B$16&lt;설정!$B$17,설정!$B$33,IF(원데이터!A11-설정!$B$16&lt;설정!$B$17+설정!$B$18,설정!$B$33+(설정!$B$34-설정!$B$33)*(원데이터!A11-설정!$B$16-설정!$B$17+1)/설정!$B$18,IF(원데이터!A11-설정!$B$16&lt;설정!$B$17+설정!$B$18+설정!$B$19,설정!$B$34,IF(원데이터!A11-설정!$B$16&lt;설정!$B$17+설정!$B$18+설정!$B$19+설정!$B$20,설정!$B$34+(설정!$B$35-설정!$B$34)*(원데이터!A11-설정!$B$16-설정!$B$17-설정!$B$18-설정!$B$19+1)/설정!$B$20,0)))))</f>
        <v/>
      </c>
      <c r="X11" s="12">
        <f>0.108-0.0286*K11+0.0422*LN(설정!$B$5)+0.1434*LN(원데이터!E11)-0.000631*LN(설정!$B$5)^2*LN(원데이터!E11)</f>
        <v/>
      </c>
      <c r="Y11" s="17">
        <f>원데이터!M11</f>
        <v/>
      </c>
      <c r="Z11" s="18">
        <f>X11*Y11</f>
        <v/>
      </c>
      <c r="AA11" s="18">
        <f>U11*W11</f>
        <v/>
      </c>
      <c r="AB11" s="18">
        <f>Z11*W11</f>
        <v/>
      </c>
    </row>
    <row r="12">
      <c r="A12" s="15">
        <f>원데이터!A12</f>
        <v/>
      </c>
      <c r="B12" s="14">
        <f>원데이터!A12-DATE(YEAR(원데이터!A12),1,1)+1</f>
        <v/>
      </c>
      <c r="C12" s="17">
        <f>(원데이터!B12+원데이터!C12)/2</f>
        <v/>
      </c>
      <c r="D12" s="12">
        <f>0.6108*EXP(17.27*원데이터!B12/(원데이터!B12+237.3))</f>
        <v/>
      </c>
      <c r="E12" s="12">
        <f>0.6108*EXP(17.27*원데이터!C12/(원데이터!C12+237.3))</f>
        <v/>
      </c>
      <c r="F12" s="12">
        <f>(D12+E12)/2</f>
        <v/>
      </c>
      <c r="G12" s="12">
        <f>IF(원데이터!H12&lt;&gt;"",원데이터!H12/10,IF(원데이터!I12&lt;&gt;"",0.6108*EXP(17.27*원데이터!I12/(원데이터!I12+237.3)),원데이터!E12/100*F12))</f>
        <v/>
      </c>
      <c r="H12" s="21">
        <f>4098*(0.6108*EXP(17.27*C12/(C12+237.3)))/(C12+237.3)^2</f>
        <v/>
      </c>
      <c r="I12" s="17">
        <f>IF(원데이터!J12&lt;&gt;"",원데이터!J12/10,101.3*((293-0.0065*설정!$B$3)/293)^5.26)</f>
        <v/>
      </c>
      <c r="J12" s="21">
        <f>0.000665*I12</f>
        <v/>
      </c>
      <c r="K12" s="18">
        <f>원데이터!G12*4.87/LN(67.8*설정!$B$4-5.42)</f>
        <v/>
      </c>
      <c r="L12" s="12">
        <f>1+0.033*COS(2*PI()*B12/365)</f>
        <v/>
      </c>
      <c r="M12" s="21">
        <f>0.409*SIN(2*PI()*B12/365-1.39)</f>
        <v/>
      </c>
      <c r="N12" s="21">
        <f>ACOS(-TAN(RADIANS(설정!$B$2))*TAN(M12))</f>
        <v/>
      </c>
      <c r="O12" s="18">
        <f>(24*60/PI())*0.082*L12*(N12*SIN(RADIANS(설정!$B$2))*SIN(M12)+COS(RADIANS(설정!$B$2))*COS(M12)*SIN(N12))</f>
        <v/>
      </c>
      <c r="P12" s="18">
        <f>(0.75+0.00002*설정!$B$3)*O12</f>
        <v/>
      </c>
      <c r="Q12" s="18">
        <f>IF(원데이터!K12&lt;&gt;"",원데이터!K12,(0.25+0.5*원데이터!L12/(24/PI()*N12))*O12)</f>
        <v/>
      </c>
      <c r="R12" s="18">
        <f>0.77*Q12</f>
        <v/>
      </c>
      <c r="S12" s="18">
        <f>0.000000004903*(((원데이터!B12+273.16)^4+(원데이터!C12+273.16)^4)/2)*(0.34-0.14*SQRT(G12))*(1.35*MIN(Q12/P12,1)-0.35)</f>
        <v/>
      </c>
      <c r="T12" s="18">
        <f>R12-S12</f>
        <v/>
      </c>
      <c r="U12" s="18">
        <f>(0.408*H12*T12+J12*(900/(C12+273))*K12*(F12-G12))/(H12+J12*(1+0.34*K12))</f>
        <v/>
      </c>
      <c r="V12" s="11">
        <f>IF(원데이터!A12-설정!$B$16&lt;0,"발아전",IF(원데이터!A12-설정!$B$16&lt;설정!$B$17,"초기",IF(원데이터!A12-설정!$B$16&lt;설정!$B$17+설정!$B$18,"발육",IF(원데이터!A12-설정!$B$16&lt;설정!$B$17+설정!$B$18+설정!$B$19,"중기",IF(원데이터!A12-설정!$B$16&lt;설정!$B$17+설정!$B$18+설정!$B$19+설정!$B$20,"후기","후기이후")))))</f>
        <v/>
      </c>
      <c r="W12" s="12">
        <f>IF(원데이터!A12-설정!$B$16&lt;0,0,IF(원데이터!A12-설정!$B$16&lt;설정!$B$17,설정!$B$33,IF(원데이터!A12-설정!$B$16&lt;설정!$B$17+설정!$B$18,설정!$B$33+(설정!$B$34-설정!$B$33)*(원데이터!A12-설정!$B$16-설정!$B$17+1)/설정!$B$18,IF(원데이터!A12-설정!$B$16&lt;설정!$B$17+설정!$B$18+설정!$B$19,설정!$B$34,IF(원데이터!A12-설정!$B$16&lt;설정!$B$17+설정!$B$18+설정!$B$19+설정!$B$20,설정!$B$34+(설정!$B$35-설정!$B$34)*(원데이터!A12-설정!$B$16-설정!$B$17-설정!$B$18-설정!$B$19+1)/설정!$B$20,0)))))</f>
        <v/>
      </c>
      <c r="X12" s="12">
        <f>0.108-0.0286*K12+0.0422*LN(설정!$B$5)+0.1434*LN(원데이터!E12)-0.000631*LN(설정!$B$5)^2*LN(원데이터!E12)</f>
        <v/>
      </c>
      <c r="Y12" s="17">
        <f>원데이터!M12</f>
        <v/>
      </c>
      <c r="Z12" s="18">
        <f>X12*Y12</f>
        <v/>
      </c>
      <c r="AA12" s="18">
        <f>U12*W12</f>
        <v/>
      </c>
      <c r="AB12" s="18">
        <f>Z12*W12</f>
        <v/>
      </c>
    </row>
    <row r="13">
      <c r="A13" s="15">
        <f>원데이터!A13</f>
        <v/>
      </c>
      <c r="B13" s="14">
        <f>원데이터!A13-DATE(YEAR(원데이터!A13),1,1)+1</f>
        <v/>
      </c>
      <c r="C13" s="17">
        <f>(원데이터!B13+원데이터!C13)/2</f>
        <v/>
      </c>
      <c r="D13" s="12">
        <f>0.6108*EXP(17.27*원데이터!B13/(원데이터!B13+237.3))</f>
        <v/>
      </c>
      <c r="E13" s="12">
        <f>0.6108*EXP(17.27*원데이터!C13/(원데이터!C13+237.3))</f>
        <v/>
      </c>
      <c r="F13" s="12">
        <f>(D13+E13)/2</f>
        <v/>
      </c>
      <c r="G13" s="12">
        <f>IF(원데이터!H13&lt;&gt;"",원데이터!H13/10,IF(원데이터!I13&lt;&gt;"",0.6108*EXP(17.27*원데이터!I13/(원데이터!I13+237.3)),원데이터!E13/100*F13))</f>
        <v/>
      </c>
      <c r="H13" s="21">
        <f>4098*(0.6108*EXP(17.27*C13/(C13+237.3)))/(C13+237.3)^2</f>
        <v/>
      </c>
      <c r="I13" s="17">
        <f>IF(원데이터!J13&lt;&gt;"",원데이터!J13/10,101.3*((293-0.0065*설정!$B$3)/293)^5.26)</f>
        <v/>
      </c>
      <c r="J13" s="21">
        <f>0.000665*I13</f>
        <v/>
      </c>
      <c r="K13" s="18">
        <f>원데이터!G13*4.87/LN(67.8*설정!$B$4-5.42)</f>
        <v/>
      </c>
      <c r="L13" s="12">
        <f>1+0.033*COS(2*PI()*B13/365)</f>
        <v/>
      </c>
      <c r="M13" s="21">
        <f>0.409*SIN(2*PI()*B13/365-1.39)</f>
        <v/>
      </c>
      <c r="N13" s="21">
        <f>ACOS(-TAN(RADIANS(설정!$B$2))*TAN(M13))</f>
        <v/>
      </c>
      <c r="O13" s="18">
        <f>(24*60/PI())*0.082*L13*(N13*SIN(RADIANS(설정!$B$2))*SIN(M13)+COS(RADIANS(설정!$B$2))*COS(M13)*SIN(N13))</f>
        <v/>
      </c>
      <c r="P13" s="18">
        <f>(0.75+0.00002*설정!$B$3)*O13</f>
        <v/>
      </c>
      <c r="Q13" s="18">
        <f>IF(원데이터!K13&lt;&gt;"",원데이터!K13,(0.25+0.5*원데이터!L13/(24/PI()*N13))*O13)</f>
        <v/>
      </c>
      <c r="R13" s="18">
        <f>0.77*Q13</f>
        <v/>
      </c>
      <c r="S13" s="18">
        <f>0.000000004903*(((원데이터!B13+273.16)^4+(원데이터!C13+273.16)^4)/2)*(0.34-0.14*SQRT(G13))*(1.35*MIN(Q13/P13,1)-0.35)</f>
        <v/>
      </c>
      <c r="T13" s="18">
        <f>R13-S13</f>
        <v/>
      </c>
      <c r="U13" s="18">
        <f>(0.408*H13*T13+J13*(900/(C13+273))*K13*(F13-G13))/(H13+J13*(1+0.34*K13))</f>
        <v/>
      </c>
      <c r="V13" s="11">
        <f>IF(원데이터!A13-설정!$B$16&lt;0,"발아전",IF(원데이터!A13-설정!$B$16&lt;설정!$B$17,"초기",IF(원데이터!A13-설정!$B$16&lt;설정!$B$17+설정!$B$18,"발육",IF(원데이터!A13-설정!$B$16&lt;설정!$B$17+설정!$B$18+설정!$B$19,"중기",IF(원데이터!A13-설정!$B$16&lt;설정!$B$17+설정!$B$18+설정!$B$19+설정!$B$20,"후기","후기이후")))))</f>
        <v/>
      </c>
      <c r="W13" s="12">
        <f>IF(원데이터!A13-설정!$B$16&lt;0,0,IF(원데이터!A13-설정!$B$16&lt;설정!$B$17,설정!$B$33,IF(원데이터!A13-설정!$B$16&lt;설정!$B$17+설정!$B$18,설정!$B$33+(설정!$B$34-설정!$B$33)*(원데이터!A13-설정!$B$16-설정!$B$17+1)/설정!$B$18,IF(원데이터!A13-설정!$B$16&lt;설정!$B$17+설정!$B$18+설정!$B$19,설정!$B$34,IF(원데이터!A13-설정!$B$16&lt;설정!$B$17+설정!$B$18+설정!$B$19+설정!$B$20,설정!$B$34+(설정!$B$35-설정!$B$34)*(원데이터!A13-설정!$B$16-설정!$B$17-설정!$B$18-설정!$B$19+1)/설정!$B$20,0)))))</f>
        <v/>
      </c>
      <c r="X13" s="12">
        <f>0.108-0.0286*K13+0.0422*LN(설정!$B$5)+0.1434*LN(원데이터!E13)-0.000631*LN(설정!$B$5)^2*LN(원데이터!E13)</f>
        <v/>
      </c>
      <c r="Y13" s="17">
        <f>원데이터!M13</f>
        <v/>
      </c>
      <c r="Z13" s="18">
        <f>X13*Y13</f>
        <v/>
      </c>
      <c r="AA13" s="18">
        <f>U13*W13</f>
        <v/>
      </c>
      <c r="AB13" s="18">
        <f>Z13*W13</f>
        <v/>
      </c>
    </row>
    <row r="14">
      <c r="A14" s="15">
        <f>원데이터!A14</f>
        <v/>
      </c>
      <c r="B14" s="14">
        <f>원데이터!A14-DATE(YEAR(원데이터!A14),1,1)+1</f>
        <v/>
      </c>
      <c r="C14" s="17">
        <f>(원데이터!B14+원데이터!C14)/2</f>
        <v/>
      </c>
      <c r="D14" s="12">
        <f>0.6108*EXP(17.27*원데이터!B14/(원데이터!B14+237.3))</f>
        <v/>
      </c>
      <c r="E14" s="12">
        <f>0.6108*EXP(17.27*원데이터!C14/(원데이터!C14+237.3))</f>
        <v/>
      </c>
      <c r="F14" s="12">
        <f>(D14+E14)/2</f>
        <v/>
      </c>
      <c r="G14" s="12">
        <f>IF(원데이터!H14&lt;&gt;"",원데이터!H14/10,IF(원데이터!I14&lt;&gt;"",0.6108*EXP(17.27*원데이터!I14/(원데이터!I14+237.3)),원데이터!E14/100*F14))</f>
        <v/>
      </c>
      <c r="H14" s="21">
        <f>4098*(0.6108*EXP(17.27*C14/(C14+237.3)))/(C14+237.3)^2</f>
        <v/>
      </c>
      <c r="I14" s="17">
        <f>IF(원데이터!J14&lt;&gt;"",원데이터!J14/10,101.3*((293-0.0065*설정!$B$3)/293)^5.26)</f>
        <v/>
      </c>
      <c r="J14" s="21">
        <f>0.000665*I14</f>
        <v/>
      </c>
      <c r="K14" s="18">
        <f>원데이터!G14*4.87/LN(67.8*설정!$B$4-5.42)</f>
        <v/>
      </c>
      <c r="L14" s="12">
        <f>1+0.033*COS(2*PI()*B14/365)</f>
        <v/>
      </c>
      <c r="M14" s="21">
        <f>0.409*SIN(2*PI()*B14/365-1.39)</f>
        <v/>
      </c>
      <c r="N14" s="21">
        <f>ACOS(-TAN(RADIANS(설정!$B$2))*TAN(M14))</f>
        <v/>
      </c>
      <c r="O14" s="18">
        <f>(24*60/PI())*0.082*L14*(N14*SIN(RADIANS(설정!$B$2))*SIN(M14)+COS(RADIANS(설정!$B$2))*COS(M14)*SIN(N14))</f>
        <v/>
      </c>
      <c r="P14" s="18">
        <f>(0.75+0.00002*설정!$B$3)*O14</f>
        <v/>
      </c>
      <c r="Q14" s="18">
        <f>IF(원데이터!K14&lt;&gt;"",원데이터!K14,(0.25+0.5*원데이터!L14/(24/PI()*N14))*O14)</f>
        <v/>
      </c>
      <c r="R14" s="18">
        <f>0.77*Q14</f>
        <v/>
      </c>
      <c r="S14" s="18">
        <f>0.000000004903*(((원데이터!B14+273.16)^4+(원데이터!C14+273.16)^4)/2)*(0.34-0.14*SQRT(G14))*(1.35*MIN(Q14/P14,1)-0.35)</f>
        <v/>
      </c>
      <c r="T14" s="18">
        <f>R14-S14</f>
        <v/>
      </c>
      <c r="U14" s="18">
        <f>(0.408*H14*T14+J14*(900/(C14+273))*K14*(F14-G14))/(H14+J14*(1+0.34*K14))</f>
        <v/>
      </c>
      <c r="V14" s="11">
        <f>IF(원데이터!A14-설정!$B$16&lt;0,"발아전",IF(원데이터!A14-설정!$B$16&lt;설정!$B$17,"초기",IF(원데이터!A14-설정!$B$16&lt;설정!$B$17+설정!$B$18,"발육",IF(원데이터!A14-설정!$B$16&lt;설정!$B$17+설정!$B$18+설정!$B$19,"중기",IF(원데이터!A14-설정!$B$16&lt;설정!$B$17+설정!$B$18+설정!$B$19+설정!$B$20,"후기","후기이후")))))</f>
        <v/>
      </c>
      <c r="W14" s="12">
        <f>IF(원데이터!A14-설정!$B$16&lt;0,0,IF(원데이터!A14-설정!$B$16&lt;설정!$B$17,설정!$B$33,IF(원데이터!A14-설정!$B$16&lt;설정!$B$17+설정!$B$18,설정!$B$33+(설정!$B$34-설정!$B$33)*(원데이터!A14-설정!$B$16-설정!$B$17+1)/설정!$B$18,IF(원데이터!A14-설정!$B$16&lt;설정!$B$17+설정!$B$18+설정!$B$19,설정!$B$34,IF(원데이터!A14-설정!$B$16&lt;설정!$B$17+설정!$B$18+설정!$B$19+설정!$B$20,설정!$B$34+(설정!$B$35-설정!$B$34)*(원데이터!A14-설정!$B$16-설정!$B$17-설정!$B$18-설정!$B$19+1)/설정!$B$20,0)))))</f>
        <v/>
      </c>
      <c r="X14" s="12">
        <f>0.108-0.0286*K14+0.0422*LN(설정!$B$5)+0.1434*LN(원데이터!E14)-0.000631*LN(설정!$B$5)^2*LN(원데이터!E14)</f>
        <v/>
      </c>
      <c r="Y14" s="17">
        <f>원데이터!M14</f>
        <v/>
      </c>
      <c r="Z14" s="18">
        <f>X14*Y14</f>
        <v/>
      </c>
      <c r="AA14" s="18">
        <f>U14*W14</f>
        <v/>
      </c>
      <c r="AB14" s="18">
        <f>Z14*W14</f>
        <v/>
      </c>
    </row>
    <row r="15">
      <c r="A15" s="15">
        <f>원데이터!A15</f>
        <v/>
      </c>
      <c r="B15" s="14">
        <f>원데이터!A15-DATE(YEAR(원데이터!A15),1,1)+1</f>
        <v/>
      </c>
      <c r="C15" s="17">
        <f>(원데이터!B15+원데이터!C15)/2</f>
        <v/>
      </c>
      <c r="D15" s="12">
        <f>0.6108*EXP(17.27*원데이터!B15/(원데이터!B15+237.3))</f>
        <v/>
      </c>
      <c r="E15" s="12">
        <f>0.6108*EXP(17.27*원데이터!C15/(원데이터!C15+237.3))</f>
        <v/>
      </c>
      <c r="F15" s="12">
        <f>(D15+E15)/2</f>
        <v/>
      </c>
      <c r="G15" s="12">
        <f>IF(원데이터!H15&lt;&gt;"",원데이터!H15/10,IF(원데이터!I15&lt;&gt;"",0.6108*EXP(17.27*원데이터!I15/(원데이터!I15+237.3)),원데이터!E15/100*F15))</f>
        <v/>
      </c>
      <c r="H15" s="21">
        <f>4098*(0.6108*EXP(17.27*C15/(C15+237.3)))/(C15+237.3)^2</f>
        <v/>
      </c>
      <c r="I15" s="17">
        <f>IF(원데이터!J15&lt;&gt;"",원데이터!J15/10,101.3*((293-0.0065*설정!$B$3)/293)^5.26)</f>
        <v/>
      </c>
      <c r="J15" s="21">
        <f>0.000665*I15</f>
        <v/>
      </c>
      <c r="K15" s="18">
        <f>원데이터!G15*4.87/LN(67.8*설정!$B$4-5.42)</f>
        <v/>
      </c>
      <c r="L15" s="12">
        <f>1+0.033*COS(2*PI()*B15/365)</f>
        <v/>
      </c>
      <c r="M15" s="21">
        <f>0.409*SIN(2*PI()*B15/365-1.39)</f>
        <v/>
      </c>
      <c r="N15" s="21">
        <f>ACOS(-TAN(RADIANS(설정!$B$2))*TAN(M15))</f>
        <v/>
      </c>
      <c r="O15" s="18">
        <f>(24*60/PI())*0.082*L15*(N15*SIN(RADIANS(설정!$B$2))*SIN(M15)+COS(RADIANS(설정!$B$2))*COS(M15)*SIN(N15))</f>
        <v/>
      </c>
      <c r="P15" s="18">
        <f>(0.75+0.00002*설정!$B$3)*O15</f>
        <v/>
      </c>
      <c r="Q15" s="18">
        <f>IF(원데이터!K15&lt;&gt;"",원데이터!K15,(0.25+0.5*원데이터!L15/(24/PI()*N15))*O15)</f>
        <v/>
      </c>
      <c r="R15" s="18">
        <f>0.77*Q15</f>
        <v/>
      </c>
      <c r="S15" s="18">
        <f>0.000000004903*(((원데이터!B15+273.16)^4+(원데이터!C15+273.16)^4)/2)*(0.34-0.14*SQRT(G15))*(1.35*MIN(Q15/P15,1)-0.35)</f>
        <v/>
      </c>
      <c r="T15" s="18">
        <f>R15-S15</f>
        <v/>
      </c>
      <c r="U15" s="18">
        <f>(0.408*H15*T15+J15*(900/(C15+273))*K15*(F15-G15))/(H15+J15*(1+0.34*K15))</f>
        <v/>
      </c>
      <c r="V15" s="11">
        <f>IF(원데이터!A15-설정!$B$16&lt;0,"발아전",IF(원데이터!A15-설정!$B$16&lt;설정!$B$17,"초기",IF(원데이터!A15-설정!$B$16&lt;설정!$B$17+설정!$B$18,"발육",IF(원데이터!A15-설정!$B$16&lt;설정!$B$17+설정!$B$18+설정!$B$19,"중기",IF(원데이터!A15-설정!$B$16&lt;설정!$B$17+설정!$B$18+설정!$B$19+설정!$B$20,"후기","후기이후")))))</f>
        <v/>
      </c>
      <c r="W15" s="12">
        <f>IF(원데이터!A15-설정!$B$16&lt;0,0,IF(원데이터!A15-설정!$B$16&lt;설정!$B$17,설정!$B$33,IF(원데이터!A15-설정!$B$16&lt;설정!$B$17+설정!$B$18,설정!$B$33+(설정!$B$34-설정!$B$33)*(원데이터!A15-설정!$B$16-설정!$B$17+1)/설정!$B$18,IF(원데이터!A15-설정!$B$16&lt;설정!$B$17+설정!$B$18+설정!$B$19,설정!$B$34,IF(원데이터!A15-설정!$B$16&lt;설정!$B$17+설정!$B$18+설정!$B$19+설정!$B$20,설정!$B$34+(설정!$B$35-설정!$B$34)*(원데이터!A15-설정!$B$16-설정!$B$17-설정!$B$18-설정!$B$19+1)/설정!$B$20,0)))))</f>
        <v/>
      </c>
      <c r="X15" s="12">
        <f>0.108-0.0286*K15+0.0422*LN(설정!$B$5)+0.1434*LN(원데이터!E15)-0.000631*LN(설정!$B$5)^2*LN(원데이터!E15)</f>
        <v/>
      </c>
      <c r="Y15" s="17">
        <f>원데이터!M15</f>
        <v/>
      </c>
      <c r="Z15" s="18">
        <f>X15*Y15</f>
        <v/>
      </c>
      <c r="AA15" s="18">
        <f>U15*W15</f>
        <v/>
      </c>
      <c r="AB15" s="18">
        <f>Z15*W15</f>
        <v/>
      </c>
    </row>
    <row r="16">
      <c r="A16" s="15">
        <f>원데이터!A16</f>
        <v/>
      </c>
      <c r="B16" s="14">
        <f>원데이터!A16-DATE(YEAR(원데이터!A16),1,1)+1</f>
        <v/>
      </c>
      <c r="C16" s="17">
        <f>(원데이터!B16+원데이터!C16)/2</f>
        <v/>
      </c>
      <c r="D16" s="12">
        <f>0.6108*EXP(17.27*원데이터!B16/(원데이터!B16+237.3))</f>
        <v/>
      </c>
      <c r="E16" s="12">
        <f>0.6108*EXP(17.27*원데이터!C16/(원데이터!C16+237.3))</f>
        <v/>
      </c>
      <c r="F16" s="12">
        <f>(D16+E16)/2</f>
        <v/>
      </c>
      <c r="G16" s="12">
        <f>IF(원데이터!H16&lt;&gt;"",원데이터!H16/10,IF(원데이터!I16&lt;&gt;"",0.6108*EXP(17.27*원데이터!I16/(원데이터!I16+237.3)),원데이터!E16/100*F16))</f>
        <v/>
      </c>
      <c r="H16" s="21">
        <f>4098*(0.6108*EXP(17.27*C16/(C16+237.3)))/(C16+237.3)^2</f>
        <v/>
      </c>
      <c r="I16" s="17">
        <f>IF(원데이터!J16&lt;&gt;"",원데이터!J16/10,101.3*((293-0.0065*설정!$B$3)/293)^5.26)</f>
        <v/>
      </c>
      <c r="J16" s="21">
        <f>0.000665*I16</f>
        <v/>
      </c>
      <c r="K16" s="18">
        <f>원데이터!G16*4.87/LN(67.8*설정!$B$4-5.42)</f>
        <v/>
      </c>
      <c r="L16" s="12">
        <f>1+0.033*COS(2*PI()*B16/365)</f>
        <v/>
      </c>
      <c r="M16" s="21">
        <f>0.409*SIN(2*PI()*B16/365-1.39)</f>
        <v/>
      </c>
      <c r="N16" s="21">
        <f>ACOS(-TAN(RADIANS(설정!$B$2))*TAN(M16))</f>
        <v/>
      </c>
      <c r="O16" s="18">
        <f>(24*60/PI())*0.082*L16*(N16*SIN(RADIANS(설정!$B$2))*SIN(M16)+COS(RADIANS(설정!$B$2))*COS(M16)*SIN(N16))</f>
        <v/>
      </c>
      <c r="P16" s="18">
        <f>(0.75+0.00002*설정!$B$3)*O16</f>
        <v/>
      </c>
      <c r="Q16" s="18">
        <f>IF(원데이터!K16&lt;&gt;"",원데이터!K16,(0.25+0.5*원데이터!L16/(24/PI()*N16))*O16)</f>
        <v/>
      </c>
      <c r="R16" s="18">
        <f>0.77*Q16</f>
        <v/>
      </c>
      <c r="S16" s="18">
        <f>0.000000004903*(((원데이터!B16+273.16)^4+(원데이터!C16+273.16)^4)/2)*(0.34-0.14*SQRT(G16))*(1.35*MIN(Q16/P16,1)-0.35)</f>
        <v/>
      </c>
      <c r="T16" s="18">
        <f>R16-S16</f>
        <v/>
      </c>
      <c r="U16" s="18">
        <f>(0.408*H16*T16+J16*(900/(C16+273))*K16*(F16-G16))/(H16+J16*(1+0.34*K16))</f>
        <v/>
      </c>
      <c r="V16" s="11">
        <f>IF(원데이터!A16-설정!$B$16&lt;0,"발아전",IF(원데이터!A16-설정!$B$16&lt;설정!$B$17,"초기",IF(원데이터!A16-설정!$B$16&lt;설정!$B$17+설정!$B$18,"발육",IF(원데이터!A16-설정!$B$16&lt;설정!$B$17+설정!$B$18+설정!$B$19,"중기",IF(원데이터!A16-설정!$B$16&lt;설정!$B$17+설정!$B$18+설정!$B$19+설정!$B$20,"후기","후기이후")))))</f>
        <v/>
      </c>
      <c r="W16" s="12">
        <f>IF(원데이터!A16-설정!$B$16&lt;0,0,IF(원데이터!A16-설정!$B$16&lt;설정!$B$17,설정!$B$33,IF(원데이터!A16-설정!$B$16&lt;설정!$B$17+설정!$B$18,설정!$B$33+(설정!$B$34-설정!$B$33)*(원데이터!A16-설정!$B$16-설정!$B$17+1)/설정!$B$18,IF(원데이터!A16-설정!$B$16&lt;설정!$B$17+설정!$B$18+설정!$B$19,설정!$B$34,IF(원데이터!A16-설정!$B$16&lt;설정!$B$17+설정!$B$18+설정!$B$19+설정!$B$20,설정!$B$34+(설정!$B$35-설정!$B$34)*(원데이터!A16-설정!$B$16-설정!$B$17-설정!$B$18-설정!$B$19+1)/설정!$B$20,0)))))</f>
        <v/>
      </c>
      <c r="X16" s="12">
        <f>0.108-0.0286*K16+0.0422*LN(설정!$B$5)+0.1434*LN(원데이터!E16)-0.000631*LN(설정!$B$5)^2*LN(원데이터!E16)</f>
        <v/>
      </c>
      <c r="Y16" s="17">
        <f>원데이터!M16</f>
        <v/>
      </c>
      <c r="Z16" s="18">
        <f>X16*Y16</f>
        <v/>
      </c>
      <c r="AA16" s="18">
        <f>U16*W16</f>
        <v/>
      </c>
      <c r="AB16" s="18">
        <f>Z16*W16</f>
        <v/>
      </c>
    </row>
    <row r="17">
      <c r="A17" s="15">
        <f>원데이터!A17</f>
        <v/>
      </c>
      <c r="B17" s="14">
        <f>원데이터!A17-DATE(YEAR(원데이터!A17),1,1)+1</f>
        <v/>
      </c>
      <c r="C17" s="17">
        <f>(원데이터!B17+원데이터!C17)/2</f>
        <v/>
      </c>
      <c r="D17" s="12">
        <f>0.6108*EXP(17.27*원데이터!B17/(원데이터!B17+237.3))</f>
        <v/>
      </c>
      <c r="E17" s="12">
        <f>0.6108*EXP(17.27*원데이터!C17/(원데이터!C17+237.3))</f>
        <v/>
      </c>
      <c r="F17" s="12">
        <f>(D17+E17)/2</f>
        <v/>
      </c>
      <c r="G17" s="12">
        <f>IF(원데이터!H17&lt;&gt;"",원데이터!H17/10,IF(원데이터!I17&lt;&gt;"",0.6108*EXP(17.27*원데이터!I17/(원데이터!I17+237.3)),원데이터!E17/100*F17))</f>
        <v/>
      </c>
      <c r="H17" s="21">
        <f>4098*(0.6108*EXP(17.27*C17/(C17+237.3)))/(C17+237.3)^2</f>
        <v/>
      </c>
      <c r="I17" s="17">
        <f>IF(원데이터!J17&lt;&gt;"",원데이터!J17/10,101.3*((293-0.0065*설정!$B$3)/293)^5.26)</f>
        <v/>
      </c>
      <c r="J17" s="21">
        <f>0.000665*I17</f>
        <v/>
      </c>
      <c r="K17" s="18">
        <f>원데이터!G17*4.87/LN(67.8*설정!$B$4-5.42)</f>
        <v/>
      </c>
      <c r="L17" s="12">
        <f>1+0.033*COS(2*PI()*B17/365)</f>
        <v/>
      </c>
      <c r="M17" s="21">
        <f>0.409*SIN(2*PI()*B17/365-1.39)</f>
        <v/>
      </c>
      <c r="N17" s="21">
        <f>ACOS(-TAN(RADIANS(설정!$B$2))*TAN(M17))</f>
        <v/>
      </c>
      <c r="O17" s="18">
        <f>(24*60/PI())*0.082*L17*(N17*SIN(RADIANS(설정!$B$2))*SIN(M17)+COS(RADIANS(설정!$B$2))*COS(M17)*SIN(N17))</f>
        <v/>
      </c>
      <c r="P17" s="18">
        <f>(0.75+0.00002*설정!$B$3)*O17</f>
        <v/>
      </c>
      <c r="Q17" s="18">
        <f>IF(원데이터!K17&lt;&gt;"",원데이터!K17,(0.25+0.5*원데이터!L17/(24/PI()*N17))*O17)</f>
        <v/>
      </c>
      <c r="R17" s="18">
        <f>0.77*Q17</f>
        <v/>
      </c>
      <c r="S17" s="18">
        <f>0.000000004903*(((원데이터!B17+273.16)^4+(원데이터!C17+273.16)^4)/2)*(0.34-0.14*SQRT(G17))*(1.35*MIN(Q17/P17,1)-0.35)</f>
        <v/>
      </c>
      <c r="T17" s="18">
        <f>R17-S17</f>
        <v/>
      </c>
      <c r="U17" s="18">
        <f>(0.408*H17*T17+J17*(900/(C17+273))*K17*(F17-G17))/(H17+J17*(1+0.34*K17))</f>
        <v/>
      </c>
      <c r="V17" s="11">
        <f>IF(원데이터!A17-설정!$B$16&lt;0,"발아전",IF(원데이터!A17-설정!$B$16&lt;설정!$B$17,"초기",IF(원데이터!A17-설정!$B$16&lt;설정!$B$17+설정!$B$18,"발육",IF(원데이터!A17-설정!$B$16&lt;설정!$B$17+설정!$B$18+설정!$B$19,"중기",IF(원데이터!A17-설정!$B$16&lt;설정!$B$17+설정!$B$18+설정!$B$19+설정!$B$20,"후기","후기이후")))))</f>
        <v/>
      </c>
      <c r="W17" s="12">
        <f>IF(원데이터!A17-설정!$B$16&lt;0,0,IF(원데이터!A17-설정!$B$16&lt;설정!$B$17,설정!$B$33,IF(원데이터!A17-설정!$B$16&lt;설정!$B$17+설정!$B$18,설정!$B$33+(설정!$B$34-설정!$B$33)*(원데이터!A17-설정!$B$16-설정!$B$17+1)/설정!$B$18,IF(원데이터!A17-설정!$B$16&lt;설정!$B$17+설정!$B$18+설정!$B$19,설정!$B$34,IF(원데이터!A17-설정!$B$16&lt;설정!$B$17+설정!$B$18+설정!$B$19+설정!$B$20,설정!$B$34+(설정!$B$35-설정!$B$34)*(원데이터!A17-설정!$B$16-설정!$B$17-설정!$B$18-설정!$B$19+1)/설정!$B$20,0)))))</f>
        <v/>
      </c>
      <c r="X17" s="12">
        <f>0.108-0.0286*K17+0.0422*LN(설정!$B$5)+0.1434*LN(원데이터!E17)-0.000631*LN(설정!$B$5)^2*LN(원데이터!E17)</f>
        <v/>
      </c>
      <c r="Y17" s="17">
        <f>원데이터!M17</f>
        <v/>
      </c>
      <c r="Z17" s="18">
        <f>X17*Y17</f>
        <v/>
      </c>
      <c r="AA17" s="18">
        <f>U17*W17</f>
        <v/>
      </c>
      <c r="AB17" s="18">
        <f>Z17*W17</f>
        <v/>
      </c>
    </row>
    <row r="18">
      <c r="A18" s="15">
        <f>원데이터!A18</f>
        <v/>
      </c>
      <c r="B18" s="14">
        <f>원데이터!A18-DATE(YEAR(원데이터!A18),1,1)+1</f>
        <v/>
      </c>
      <c r="C18" s="17">
        <f>(원데이터!B18+원데이터!C18)/2</f>
        <v/>
      </c>
      <c r="D18" s="12">
        <f>0.6108*EXP(17.27*원데이터!B18/(원데이터!B18+237.3))</f>
        <v/>
      </c>
      <c r="E18" s="12">
        <f>0.6108*EXP(17.27*원데이터!C18/(원데이터!C18+237.3))</f>
        <v/>
      </c>
      <c r="F18" s="12">
        <f>(D18+E18)/2</f>
        <v/>
      </c>
      <c r="G18" s="12">
        <f>IF(원데이터!H18&lt;&gt;"",원데이터!H18/10,IF(원데이터!I18&lt;&gt;"",0.6108*EXP(17.27*원데이터!I18/(원데이터!I18+237.3)),원데이터!E18/100*F18))</f>
        <v/>
      </c>
      <c r="H18" s="21">
        <f>4098*(0.6108*EXP(17.27*C18/(C18+237.3)))/(C18+237.3)^2</f>
        <v/>
      </c>
      <c r="I18" s="17">
        <f>IF(원데이터!J18&lt;&gt;"",원데이터!J18/10,101.3*((293-0.0065*설정!$B$3)/293)^5.26)</f>
        <v/>
      </c>
      <c r="J18" s="21">
        <f>0.000665*I18</f>
        <v/>
      </c>
      <c r="K18" s="18">
        <f>원데이터!G18*4.87/LN(67.8*설정!$B$4-5.42)</f>
        <v/>
      </c>
      <c r="L18" s="12">
        <f>1+0.033*COS(2*PI()*B18/365)</f>
        <v/>
      </c>
      <c r="M18" s="21">
        <f>0.409*SIN(2*PI()*B18/365-1.39)</f>
        <v/>
      </c>
      <c r="N18" s="21">
        <f>ACOS(-TAN(RADIANS(설정!$B$2))*TAN(M18))</f>
        <v/>
      </c>
      <c r="O18" s="18">
        <f>(24*60/PI())*0.082*L18*(N18*SIN(RADIANS(설정!$B$2))*SIN(M18)+COS(RADIANS(설정!$B$2))*COS(M18)*SIN(N18))</f>
        <v/>
      </c>
      <c r="P18" s="18">
        <f>(0.75+0.00002*설정!$B$3)*O18</f>
        <v/>
      </c>
      <c r="Q18" s="18">
        <f>IF(원데이터!K18&lt;&gt;"",원데이터!K18,(0.25+0.5*원데이터!L18/(24/PI()*N18))*O18)</f>
        <v/>
      </c>
      <c r="R18" s="18">
        <f>0.77*Q18</f>
        <v/>
      </c>
      <c r="S18" s="18">
        <f>0.000000004903*(((원데이터!B18+273.16)^4+(원데이터!C18+273.16)^4)/2)*(0.34-0.14*SQRT(G18))*(1.35*MIN(Q18/P18,1)-0.35)</f>
        <v/>
      </c>
      <c r="T18" s="18">
        <f>R18-S18</f>
        <v/>
      </c>
      <c r="U18" s="18">
        <f>(0.408*H18*T18+J18*(900/(C18+273))*K18*(F18-G18))/(H18+J18*(1+0.34*K18))</f>
        <v/>
      </c>
      <c r="V18" s="11">
        <f>IF(원데이터!A18-설정!$B$16&lt;0,"발아전",IF(원데이터!A18-설정!$B$16&lt;설정!$B$17,"초기",IF(원데이터!A18-설정!$B$16&lt;설정!$B$17+설정!$B$18,"발육",IF(원데이터!A18-설정!$B$16&lt;설정!$B$17+설정!$B$18+설정!$B$19,"중기",IF(원데이터!A18-설정!$B$16&lt;설정!$B$17+설정!$B$18+설정!$B$19+설정!$B$20,"후기","후기이후")))))</f>
        <v/>
      </c>
      <c r="W18" s="12">
        <f>IF(원데이터!A18-설정!$B$16&lt;0,0,IF(원데이터!A18-설정!$B$16&lt;설정!$B$17,설정!$B$33,IF(원데이터!A18-설정!$B$16&lt;설정!$B$17+설정!$B$18,설정!$B$33+(설정!$B$34-설정!$B$33)*(원데이터!A18-설정!$B$16-설정!$B$17+1)/설정!$B$18,IF(원데이터!A18-설정!$B$16&lt;설정!$B$17+설정!$B$18+설정!$B$19,설정!$B$34,IF(원데이터!A18-설정!$B$16&lt;설정!$B$17+설정!$B$18+설정!$B$19+설정!$B$20,설정!$B$34+(설정!$B$35-설정!$B$34)*(원데이터!A18-설정!$B$16-설정!$B$17-설정!$B$18-설정!$B$19+1)/설정!$B$20,0)))))</f>
        <v/>
      </c>
      <c r="X18" s="12">
        <f>0.108-0.0286*K18+0.0422*LN(설정!$B$5)+0.1434*LN(원데이터!E18)-0.000631*LN(설정!$B$5)^2*LN(원데이터!E18)</f>
        <v/>
      </c>
      <c r="Y18" s="17">
        <f>원데이터!M18</f>
        <v/>
      </c>
      <c r="Z18" s="18">
        <f>X18*Y18</f>
        <v/>
      </c>
      <c r="AA18" s="18">
        <f>U18*W18</f>
        <v/>
      </c>
      <c r="AB18" s="18">
        <f>Z18*W18</f>
        <v/>
      </c>
    </row>
    <row r="19">
      <c r="A19" s="15">
        <f>원데이터!A19</f>
        <v/>
      </c>
      <c r="B19" s="14">
        <f>원데이터!A19-DATE(YEAR(원데이터!A19),1,1)+1</f>
        <v/>
      </c>
      <c r="C19" s="17">
        <f>(원데이터!B19+원데이터!C19)/2</f>
        <v/>
      </c>
      <c r="D19" s="12">
        <f>0.6108*EXP(17.27*원데이터!B19/(원데이터!B19+237.3))</f>
        <v/>
      </c>
      <c r="E19" s="12">
        <f>0.6108*EXP(17.27*원데이터!C19/(원데이터!C19+237.3))</f>
        <v/>
      </c>
      <c r="F19" s="12">
        <f>(D19+E19)/2</f>
        <v/>
      </c>
      <c r="G19" s="12">
        <f>IF(원데이터!H19&lt;&gt;"",원데이터!H19/10,IF(원데이터!I19&lt;&gt;"",0.6108*EXP(17.27*원데이터!I19/(원데이터!I19+237.3)),원데이터!E19/100*F19))</f>
        <v/>
      </c>
      <c r="H19" s="21">
        <f>4098*(0.6108*EXP(17.27*C19/(C19+237.3)))/(C19+237.3)^2</f>
        <v/>
      </c>
      <c r="I19" s="17">
        <f>IF(원데이터!J19&lt;&gt;"",원데이터!J19/10,101.3*((293-0.0065*설정!$B$3)/293)^5.26)</f>
        <v/>
      </c>
      <c r="J19" s="21">
        <f>0.000665*I19</f>
        <v/>
      </c>
      <c r="K19" s="18">
        <f>원데이터!G19*4.87/LN(67.8*설정!$B$4-5.42)</f>
        <v/>
      </c>
      <c r="L19" s="12">
        <f>1+0.033*COS(2*PI()*B19/365)</f>
        <v/>
      </c>
      <c r="M19" s="21">
        <f>0.409*SIN(2*PI()*B19/365-1.39)</f>
        <v/>
      </c>
      <c r="N19" s="21">
        <f>ACOS(-TAN(RADIANS(설정!$B$2))*TAN(M19))</f>
        <v/>
      </c>
      <c r="O19" s="18">
        <f>(24*60/PI())*0.082*L19*(N19*SIN(RADIANS(설정!$B$2))*SIN(M19)+COS(RADIANS(설정!$B$2))*COS(M19)*SIN(N19))</f>
        <v/>
      </c>
      <c r="P19" s="18">
        <f>(0.75+0.00002*설정!$B$3)*O19</f>
        <v/>
      </c>
      <c r="Q19" s="18">
        <f>IF(원데이터!K19&lt;&gt;"",원데이터!K19,(0.25+0.5*원데이터!L19/(24/PI()*N19))*O19)</f>
        <v/>
      </c>
      <c r="R19" s="18">
        <f>0.77*Q19</f>
        <v/>
      </c>
      <c r="S19" s="18">
        <f>0.000000004903*(((원데이터!B19+273.16)^4+(원데이터!C19+273.16)^4)/2)*(0.34-0.14*SQRT(G19))*(1.35*MIN(Q19/P19,1)-0.35)</f>
        <v/>
      </c>
      <c r="T19" s="18">
        <f>R19-S19</f>
        <v/>
      </c>
      <c r="U19" s="18">
        <f>(0.408*H19*T19+J19*(900/(C19+273))*K19*(F19-G19))/(H19+J19*(1+0.34*K19))</f>
        <v/>
      </c>
      <c r="V19" s="11">
        <f>IF(원데이터!A19-설정!$B$16&lt;0,"발아전",IF(원데이터!A19-설정!$B$16&lt;설정!$B$17,"초기",IF(원데이터!A19-설정!$B$16&lt;설정!$B$17+설정!$B$18,"발육",IF(원데이터!A19-설정!$B$16&lt;설정!$B$17+설정!$B$18+설정!$B$19,"중기",IF(원데이터!A19-설정!$B$16&lt;설정!$B$17+설정!$B$18+설정!$B$19+설정!$B$20,"후기","후기이후")))))</f>
        <v/>
      </c>
      <c r="W19" s="12">
        <f>IF(원데이터!A19-설정!$B$16&lt;0,0,IF(원데이터!A19-설정!$B$16&lt;설정!$B$17,설정!$B$33,IF(원데이터!A19-설정!$B$16&lt;설정!$B$17+설정!$B$18,설정!$B$33+(설정!$B$34-설정!$B$33)*(원데이터!A19-설정!$B$16-설정!$B$17+1)/설정!$B$18,IF(원데이터!A19-설정!$B$16&lt;설정!$B$17+설정!$B$18+설정!$B$19,설정!$B$34,IF(원데이터!A19-설정!$B$16&lt;설정!$B$17+설정!$B$18+설정!$B$19+설정!$B$20,설정!$B$34+(설정!$B$35-설정!$B$34)*(원데이터!A19-설정!$B$16-설정!$B$17-설정!$B$18-설정!$B$19+1)/설정!$B$20,0)))))</f>
        <v/>
      </c>
      <c r="X19" s="12">
        <f>0.108-0.0286*K19+0.0422*LN(설정!$B$5)+0.1434*LN(원데이터!E19)-0.000631*LN(설정!$B$5)^2*LN(원데이터!E19)</f>
        <v/>
      </c>
      <c r="Y19" s="17">
        <f>원데이터!M19</f>
        <v/>
      </c>
      <c r="Z19" s="18">
        <f>X19*Y19</f>
        <v/>
      </c>
      <c r="AA19" s="18">
        <f>U19*W19</f>
        <v/>
      </c>
      <c r="AB19" s="18">
        <f>Z19*W19</f>
        <v/>
      </c>
    </row>
    <row r="20">
      <c r="A20" s="15">
        <f>원데이터!A20</f>
        <v/>
      </c>
      <c r="B20" s="14">
        <f>원데이터!A20-DATE(YEAR(원데이터!A20),1,1)+1</f>
        <v/>
      </c>
      <c r="C20" s="17">
        <f>(원데이터!B20+원데이터!C20)/2</f>
        <v/>
      </c>
      <c r="D20" s="12">
        <f>0.6108*EXP(17.27*원데이터!B20/(원데이터!B20+237.3))</f>
        <v/>
      </c>
      <c r="E20" s="12">
        <f>0.6108*EXP(17.27*원데이터!C20/(원데이터!C20+237.3))</f>
        <v/>
      </c>
      <c r="F20" s="12">
        <f>(D20+E20)/2</f>
        <v/>
      </c>
      <c r="G20" s="12">
        <f>IF(원데이터!H20&lt;&gt;"",원데이터!H20/10,IF(원데이터!I20&lt;&gt;"",0.6108*EXP(17.27*원데이터!I20/(원데이터!I20+237.3)),원데이터!E20/100*F20))</f>
        <v/>
      </c>
      <c r="H20" s="21">
        <f>4098*(0.6108*EXP(17.27*C20/(C20+237.3)))/(C20+237.3)^2</f>
        <v/>
      </c>
      <c r="I20" s="17">
        <f>IF(원데이터!J20&lt;&gt;"",원데이터!J20/10,101.3*((293-0.0065*설정!$B$3)/293)^5.26)</f>
        <v/>
      </c>
      <c r="J20" s="21">
        <f>0.000665*I20</f>
        <v/>
      </c>
      <c r="K20" s="18">
        <f>원데이터!G20*4.87/LN(67.8*설정!$B$4-5.42)</f>
        <v/>
      </c>
      <c r="L20" s="12">
        <f>1+0.033*COS(2*PI()*B20/365)</f>
        <v/>
      </c>
      <c r="M20" s="21">
        <f>0.409*SIN(2*PI()*B20/365-1.39)</f>
        <v/>
      </c>
      <c r="N20" s="21">
        <f>ACOS(-TAN(RADIANS(설정!$B$2))*TAN(M20))</f>
        <v/>
      </c>
      <c r="O20" s="18">
        <f>(24*60/PI())*0.082*L20*(N20*SIN(RADIANS(설정!$B$2))*SIN(M20)+COS(RADIANS(설정!$B$2))*COS(M20)*SIN(N20))</f>
        <v/>
      </c>
      <c r="P20" s="18">
        <f>(0.75+0.00002*설정!$B$3)*O20</f>
        <v/>
      </c>
      <c r="Q20" s="18">
        <f>IF(원데이터!K20&lt;&gt;"",원데이터!K20,(0.25+0.5*원데이터!L20/(24/PI()*N20))*O20)</f>
        <v/>
      </c>
      <c r="R20" s="18">
        <f>0.77*Q20</f>
        <v/>
      </c>
      <c r="S20" s="18">
        <f>0.000000004903*(((원데이터!B20+273.16)^4+(원데이터!C20+273.16)^4)/2)*(0.34-0.14*SQRT(G20))*(1.35*MIN(Q20/P20,1)-0.35)</f>
        <v/>
      </c>
      <c r="T20" s="18">
        <f>R20-S20</f>
        <v/>
      </c>
      <c r="U20" s="18">
        <f>(0.408*H20*T20+J20*(900/(C20+273))*K20*(F20-G20))/(H20+J20*(1+0.34*K20))</f>
        <v/>
      </c>
      <c r="V20" s="11">
        <f>IF(원데이터!A20-설정!$B$16&lt;0,"발아전",IF(원데이터!A20-설정!$B$16&lt;설정!$B$17,"초기",IF(원데이터!A20-설정!$B$16&lt;설정!$B$17+설정!$B$18,"발육",IF(원데이터!A20-설정!$B$16&lt;설정!$B$17+설정!$B$18+설정!$B$19,"중기",IF(원데이터!A20-설정!$B$16&lt;설정!$B$17+설정!$B$18+설정!$B$19+설정!$B$20,"후기","후기이후")))))</f>
        <v/>
      </c>
      <c r="W20" s="12">
        <f>IF(원데이터!A20-설정!$B$16&lt;0,0,IF(원데이터!A20-설정!$B$16&lt;설정!$B$17,설정!$B$33,IF(원데이터!A20-설정!$B$16&lt;설정!$B$17+설정!$B$18,설정!$B$33+(설정!$B$34-설정!$B$33)*(원데이터!A20-설정!$B$16-설정!$B$17+1)/설정!$B$18,IF(원데이터!A20-설정!$B$16&lt;설정!$B$17+설정!$B$18+설정!$B$19,설정!$B$34,IF(원데이터!A20-설정!$B$16&lt;설정!$B$17+설정!$B$18+설정!$B$19+설정!$B$20,설정!$B$34+(설정!$B$35-설정!$B$34)*(원데이터!A20-설정!$B$16-설정!$B$17-설정!$B$18-설정!$B$19+1)/설정!$B$20,0)))))</f>
        <v/>
      </c>
      <c r="X20" s="12">
        <f>0.108-0.0286*K20+0.0422*LN(설정!$B$5)+0.1434*LN(원데이터!E20)-0.000631*LN(설정!$B$5)^2*LN(원데이터!E20)</f>
        <v/>
      </c>
      <c r="Y20" s="17">
        <f>원데이터!M20</f>
        <v/>
      </c>
      <c r="Z20" s="18">
        <f>X20*Y20</f>
        <v/>
      </c>
      <c r="AA20" s="18">
        <f>U20*W20</f>
        <v/>
      </c>
      <c r="AB20" s="18">
        <f>Z20*W20</f>
        <v/>
      </c>
    </row>
    <row r="21">
      <c r="A21" s="15">
        <f>원데이터!A21</f>
        <v/>
      </c>
      <c r="B21" s="14">
        <f>원데이터!A21-DATE(YEAR(원데이터!A21),1,1)+1</f>
        <v/>
      </c>
      <c r="C21" s="17">
        <f>(원데이터!B21+원데이터!C21)/2</f>
        <v/>
      </c>
      <c r="D21" s="12">
        <f>0.6108*EXP(17.27*원데이터!B21/(원데이터!B21+237.3))</f>
        <v/>
      </c>
      <c r="E21" s="12">
        <f>0.6108*EXP(17.27*원데이터!C21/(원데이터!C21+237.3))</f>
        <v/>
      </c>
      <c r="F21" s="12">
        <f>(D21+E21)/2</f>
        <v/>
      </c>
      <c r="G21" s="12">
        <f>IF(원데이터!H21&lt;&gt;"",원데이터!H21/10,IF(원데이터!I21&lt;&gt;"",0.6108*EXP(17.27*원데이터!I21/(원데이터!I21+237.3)),원데이터!E21/100*F21))</f>
        <v/>
      </c>
      <c r="H21" s="21">
        <f>4098*(0.6108*EXP(17.27*C21/(C21+237.3)))/(C21+237.3)^2</f>
        <v/>
      </c>
      <c r="I21" s="17">
        <f>IF(원데이터!J21&lt;&gt;"",원데이터!J21/10,101.3*((293-0.0065*설정!$B$3)/293)^5.26)</f>
        <v/>
      </c>
      <c r="J21" s="21">
        <f>0.000665*I21</f>
        <v/>
      </c>
      <c r="K21" s="18">
        <f>원데이터!G21*4.87/LN(67.8*설정!$B$4-5.42)</f>
        <v/>
      </c>
      <c r="L21" s="12">
        <f>1+0.033*COS(2*PI()*B21/365)</f>
        <v/>
      </c>
      <c r="M21" s="21">
        <f>0.409*SIN(2*PI()*B21/365-1.39)</f>
        <v/>
      </c>
      <c r="N21" s="21">
        <f>ACOS(-TAN(RADIANS(설정!$B$2))*TAN(M21))</f>
        <v/>
      </c>
      <c r="O21" s="18">
        <f>(24*60/PI())*0.082*L21*(N21*SIN(RADIANS(설정!$B$2))*SIN(M21)+COS(RADIANS(설정!$B$2))*COS(M21)*SIN(N21))</f>
        <v/>
      </c>
      <c r="P21" s="18">
        <f>(0.75+0.00002*설정!$B$3)*O21</f>
        <v/>
      </c>
      <c r="Q21" s="18">
        <f>IF(원데이터!K21&lt;&gt;"",원데이터!K21,(0.25+0.5*원데이터!L21/(24/PI()*N21))*O21)</f>
        <v/>
      </c>
      <c r="R21" s="18">
        <f>0.77*Q21</f>
        <v/>
      </c>
      <c r="S21" s="18">
        <f>0.000000004903*(((원데이터!B21+273.16)^4+(원데이터!C21+273.16)^4)/2)*(0.34-0.14*SQRT(G21))*(1.35*MIN(Q21/P21,1)-0.35)</f>
        <v/>
      </c>
      <c r="T21" s="18">
        <f>R21-S21</f>
        <v/>
      </c>
      <c r="U21" s="18">
        <f>(0.408*H21*T21+J21*(900/(C21+273))*K21*(F21-G21))/(H21+J21*(1+0.34*K21))</f>
        <v/>
      </c>
      <c r="V21" s="11">
        <f>IF(원데이터!A21-설정!$B$16&lt;0,"발아전",IF(원데이터!A21-설정!$B$16&lt;설정!$B$17,"초기",IF(원데이터!A21-설정!$B$16&lt;설정!$B$17+설정!$B$18,"발육",IF(원데이터!A21-설정!$B$16&lt;설정!$B$17+설정!$B$18+설정!$B$19,"중기",IF(원데이터!A21-설정!$B$16&lt;설정!$B$17+설정!$B$18+설정!$B$19+설정!$B$20,"후기","후기이후")))))</f>
        <v/>
      </c>
      <c r="W21" s="12">
        <f>IF(원데이터!A21-설정!$B$16&lt;0,0,IF(원데이터!A21-설정!$B$16&lt;설정!$B$17,설정!$B$33,IF(원데이터!A21-설정!$B$16&lt;설정!$B$17+설정!$B$18,설정!$B$33+(설정!$B$34-설정!$B$33)*(원데이터!A21-설정!$B$16-설정!$B$17+1)/설정!$B$18,IF(원데이터!A21-설정!$B$16&lt;설정!$B$17+설정!$B$18+설정!$B$19,설정!$B$34,IF(원데이터!A21-설정!$B$16&lt;설정!$B$17+설정!$B$18+설정!$B$19+설정!$B$20,설정!$B$34+(설정!$B$35-설정!$B$34)*(원데이터!A21-설정!$B$16-설정!$B$17-설정!$B$18-설정!$B$19+1)/설정!$B$20,0)))))</f>
        <v/>
      </c>
      <c r="X21" s="12">
        <f>0.108-0.0286*K21+0.0422*LN(설정!$B$5)+0.1434*LN(원데이터!E21)-0.000631*LN(설정!$B$5)^2*LN(원데이터!E21)</f>
        <v/>
      </c>
      <c r="Y21" s="17">
        <f>원데이터!M21</f>
        <v/>
      </c>
      <c r="Z21" s="18">
        <f>X21*Y21</f>
        <v/>
      </c>
      <c r="AA21" s="18">
        <f>U21*W21</f>
        <v/>
      </c>
      <c r="AB21" s="18">
        <f>Z21*W21</f>
        <v/>
      </c>
    </row>
    <row r="22">
      <c r="A22" s="15">
        <f>원데이터!A22</f>
        <v/>
      </c>
      <c r="B22" s="14">
        <f>원데이터!A22-DATE(YEAR(원데이터!A22),1,1)+1</f>
        <v/>
      </c>
      <c r="C22" s="17">
        <f>(원데이터!B22+원데이터!C22)/2</f>
        <v/>
      </c>
      <c r="D22" s="12">
        <f>0.6108*EXP(17.27*원데이터!B22/(원데이터!B22+237.3))</f>
        <v/>
      </c>
      <c r="E22" s="12">
        <f>0.6108*EXP(17.27*원데이터!C22/(원데이터!C22+237.3))</f>
        <v/>
      </c>
      <c r="F22" s="12">
        <f>(D22+E22)/2</f>
        <v/>
      </c>
      <c r="G22" s="12">
        <f>IF(원데이터!H22&lt;&gt;"",원데이터!H22/10,IF(원데이터!I22&lt;&gt;"",0.6108*EXP(17.27*원데이터!I22/(원데이터!I22+237.3)),원데이터!E22/100*F22))</f>
        <v/>
      </c>
      <c r="H22" s="21">
        <f>4098*(0.6108*EXP(17.27*C22/(C22+237.3)))/(C22+237.3)^2</f>
        <v/>
      </c>
      <c r="I22" s="17">
        <f>IF(원데이터!J22&lt;&gt;"",원데이터!J22/10,101.3*((293-0.0065*설정!$B$3)/293)^5.26)</f>
        <v/>
      </c>
      <c r="J22" s="21">
        <f>0.000665*I22</f>
        <v/>
      </c>
      <c r="K22" s="18">
        <f>원데이터!G22*4.87/LN(67.8*설정!$B$4-5.42)</f>
        <v/>
      </c>
      <c r="L22" s="12">
        <f>1+0.033*COS(2*PI()*B22/365)</f>
        <v/>
      </c>
      <c r="M22" s="21">
        <f>0.409*SIN(2*PI()*B22/365-1.39)</f>
        <v/>
      </c>
      <c r="N22" s="21">
        <f>ACOS(-TAN(RADIANS(설정!$B$2))*TAN(M22))</f>
        <v/>
      </c>
      <c r="O22" s="18">
        <f>(24*60/PI())*0.082*L22*(N22*SIN(RADIANS(설정!$B$2))*SIN(M22)+COS(RADIANS(설정!$B$2))*COS(M22)*SIN(N22))</f>
        <v/>
      </c>
      <c r="P22" s="18">
        <f>(0.75+0.00002*설정!$B$3)*O22</f>
        <v/>
      </c>
      <c r="Q22" s="18">
        <f>IF(원데이터!K22&lt;&gt;"",원데이터!K22,(0.25+0.5*원데이터!L22/(24/PI()*N22))*O22)</f>
        <v/>
      </c>
      <c r="R22" s="18">
        <f>0.77*Q22</f>
        <v/>
      </c>
      <c r="S22" s="18">
        <f>0.000000004903*(((원데이터!B22+273.16)^4+(원데이터!C22+273.16)^4)/2)*(0.34-0.14*SQRT(G22))*(1.35*MIN(Q22/P22,1)-0.35)</f>
        <v/>
      </c>
      <c r="T22" s="18">
        <f>R22-S22</f>
        <v/>
      </c>
      <c r="U22" s="18">
        <f>(0.408*H22*T22+J22*(900/(C22+273))*K22*(F22-G22))/(H22+J22*(1+0.34*K22))</f>
        <v/>
      </c>
      <c r="V22" s="11">
        <f>IF(원데이터!A22-설정!$B$16&lt;0,"발아전",IF(원데이터!A22-설정!$B$16&lt;설정!$B$17,"초기",IF(원데이터!A22-설정!$B$16&lt;설정!$B$17+설정!$B$18,"발육",IF(원데이터!A22-설정!$B$16&lt;설정!$B$17+설정!$B$18+설정!$B$19,"중기",IF(원데이터!A22-설정!$B$16&lt;설정!$B$17+설정!$B$18+설정!$B$19+설정!$B$20,"후기","후기이후")))))</f>
        <v/>
      </c>
      <c r="W22" s="12">
        <f>IF(원데이터!A22-설정!$B$16&lt;0,0,IF(원데이터!A22-설정!$B$16&lt;설정!$B$17,설정!$B$33,IF(원데이터!A22-설정!$B$16&lt;설정!$B$17+설정!$B$18,설정!$B$33+(설정!$B$34-설정!$B$33)*(원데이터!A22-설정!$B$16-설정!$B$17+1)/설정!$B$18,IF(원데이터!A22-설정!$B$16&lt;설정!$B$17+설정!$B$18+설정!$B$19,설정!$B$34,IF(원데이터!A22-설정!$B$16&lt;설정!$B$17+설정!$B$18+설정!$B$19+설정!$B$20,설정!$B$34+(설정!$B$35-설정!$B$34)*(원데이터!A22-설정!$B$16-설정!$B$17-설정!$B$18-설정!$B$19+1)/설정!$B$20,0)))))</f>
        <v/>
      </c>
      <c r="X22" s="12">
        <f>0.108-0.0286*K22+0.0422*LN(설정!$B$5)+0.1434*LN(원데이터!E22)-0.000631*LN(설정!$B$5)^2*LN(원데이터!E22)</f>
        <v/>
      </c>
      <c r="Y22" s="17">
        <f>원데이터!M22</f>
        <v/>
      </c>
      <c r="Z22" s="18">
        <f>X22*Y22</f>
        <v/>
      </c>
      <c r="AA22" s="18">
        <f>U22*W22</f>
        <v/>
      </c>
      <c r="AB22" s="18">
        <f>Z22*W22</f>
        <v/>
      </c>
    </row>
    <row r="23">
      <c r="A23" s="15">
        <f>원데이터!A23</f>
        <v/>
      </c>
      <c r="B23" s="14">
        <f>원데이터!A23-DATE(YEAR(원데이터!A23),1,1)+1</f>
        <v/>
      </c>
      <c r="C23" s="17">
        <f>(원데이터!B23+원데이터!C23)/2</f>
        <v/>
      </c>
      <c r="D23" s="12">
        <f>0.6108*EXP(17.27*원데이터!B23/(원데이터!B23+237.3))</f>
        <v/>
      </c>
      <c r="E23" s="12">
        <f>0.6108*EXP(17.27*원데이터!C23/(원데이터!C23+237.3))</f>
        <v/>
      </c>
      <c r="F23" s="12">
        <f>(D23+E23)/2</f>
        <v/>
      </c>
      <c r="G23" s="12">
        <f>IF(원데이터!H23&lt;&gt;"",원데이터!H23/10,IF(원데이터!I23&lt;&gt;"",0.6108*EXP(17.27*원데이터!I23/(원데이터!I23+237.3)),원데이터!E23/100*F23))</f>
        <v/>
      </c>
      <c r="H23" s="21">
        <f>4098*(0.6108*EXP(17.27*C23/(C23+237.3)))/(C23+237.3)^2</f>
        <v/>
      </c>
      <c r="I23" s="17">
        <f>IF(원데이터!J23&lt;&gt;"",원데이터!J23/10,101.3*((293-0.0065*설정!$B$3)/293)^5.26)</f>
        <v/>
      </c>
      <c r="J23" s="21">
        <f>0.000665*I23</f>
        <v/>
      </c>
      <c r="K23" s="18">
        <f>원데이터!G23*4.87/LN(67.8*설정!$B$4-5.42)</f>
        <v/>
      </c>
      <c r="L23" s="12">
        <f>1+0.033*COS(2*PI()*B23/365)</f>
        <v/>
      </c>
      <c r="M23" s="21">
        <f>0.409*SIN(2*PI()*B23/365-1.39)</f>
        <v/>
      </c>
      <c r="N23" s="21">
        <f>ACOS(-TAN(RADIANS(설정!$B$2))*TAN(M23))</f>
        <v/>
      </c>
      <c r="O23" s="18">
        <f>(24*60/PI())*0.082*L23*(N23*SIN(RADIANS(설정!$B$2))*SIN(M23)+COS(RADIANS(설정!$B$2))*COS(M23)*SIN(N23))</f>
        <v/>
      </c>
      <c r="P23" s="18">
        <f>(0.75+0.00002*설정!$B$3)*O23</f>
        <v/>
      </c>
      <c r="Q23" s="18">
        <f>IF(원데이터!K23&lt;&gt;"",원데이터!K23,(0.25+0.5*원데이터!L23/(24/PI()*N23))*O23)</f>
        <v/>
      </c>
      <c r="R23" s="18">
        <f>0.77*Q23</f>
        <v/>
      </c>
      <c r="S23" s="18">
        <f>0.000000004903*(((원데이터!B23+273.16)^4+(원데이터!C23+273.16)^4)/2)*(0.34-0.14*SQRT(G23))*(1.35*MIN(Q23/P23,1)-0.35)</f>
        <v/>
      </c>
      <c r="T23" s="18">
        <f>R23-S23</f>
        <v/>
      </c>
      <c r="U23" s="18">
        <f>(0.408*H23*T23+J23*(900/(C23+273))*K23*(F23-G23))/(H23+J23*(1+0.34*K23))</f>
        <v/>
      </c>
      <c r="V23" s="11">
        <f>IF(원데이터!A23-설정!$B$16&lt;0,"발아전",IF(원데이터!A23-설정!$B$16&lt;설정!$B$17,"초기",IF(원데이터!A23-설정!$B$16&lt;설정!$B$17+설정!$B$18,"발육",IF(원데이터!A23-설정!$B$16&lt;설정!$B$17+설정!$B$18+설정!$B$19,"중기",IF(원데이터!A23-설정!$B$16&lt;설정!$B$17+설정!$B$18+설정!$B$19+설정!$B$20,"후기","후기이후")))))</f>
        <v/>
      </c>
      <c r="W23" s="12">
        <f>IF(원데이터!A23-설정!$B$16&lt;0,0,IF(원데이터!A23-설정!$B$16&lt;설정!$B$17,설정!$B$33,IF(원데이터!A23-설정!$B$16&lt;설정!$B$17+설정!$B$18,설정!$B$33+(설정!$B$34-설정!$B$33)*(원데이터!A23-설정!$B$16-설정!$B$17+1)/설정!$B$18,IF(원데이터!A23-설정!$B$16&lt;설정!$B$17+설정!$B$18+설정!$B$19,설정!$B$34,IF(원데이터!A23-설정!$B$16&lt;설정!$B$17+설정!$B$18+설정!$B$19+설정!$B$20,설정!$B$34+(설정!$B$35-설정!$B$34)*(원데이터!A23-설정!$B$16-설정!$B$17-설정!$B$18-설정!$B$19+1)/설정!$B$20,0)))))</f>
        <v/>
      </c>
      <c r="X23" s="12">
        <f>0.108-0.0286*K23+0.0422*LN(설정!$B$5)+0.1434*LN(원데이터!E23)-0.000631*LN(설정!$B$5)^2*LN(원데이터!E23)</f>
        <v/>
      </c>
      <c r="Y23" s="17">
        <f>원데이터!M23</f>
        <v/>
      </c>
      <c r="Z23" s="18">
        <f>X23*Y23</f>
        <v/>
      </c>
      <c r="AA23" s="18">
        <f>U23*W23</f>
        <v/>
      </c>
      <c r="AB23" s="18">
        <f>Z23*W23</f>
        <v/>
      </c>
    </row>
    <row r="24">
      <c r="A24" s="15">
        <f>원데이터!A24</f>
        <v/>
      </c>
      <c r="B24" s="14">
        <f>원데이터!A24-DATE(YEAR(원데이터!A24),1,1)+1</f>
        <v/>
      </c>
      <c r="C24" s="17">
        <f>(원데이터!B24+원데이터!C24)/2</f>
        <v/>
      </c>
      <c r="D24" s="12">
        <f>0.6108*EXP(17.27*원데이터!B24/(원데이터!B24+237.3))</f>
        <v/>
      </c>
      <c r="E24" s="12">
        <f>0.6108*EXP(17.27*원데이터!C24/(원데이터!C24+237.3))</f>
        <v/>
      </c>
      <c r="F24" s="12">
        <f>(D24+E24)/2</f>
        <v/>
      </c>
      <c r="G24" s="12">
        <f>IF(원데이터!H24&lt;&gt;"",원데이터!H24/10,IF(원데이터!I24&lt;&gt;"",0.6108*EXP(17.27*원데이터!I24/(원데이터!I24+237.3)),원데이터!E24/100*F24))</f>
        <v/>
      </c>
      <c r="H24" s="21">
        <f>4098*(0.6108*EXP(17.27*C24/(C24+237.3)))/(C24+237.3)^2</f>
        <v/>
      </c>
      <c r="I24" s="17">
        <f>IF(원데이터!J24&lt;&gt;"",원데이터!J24/10,101.3*((293-0.0065*설정!$B$3)/293)^5.26)</f>
        <v/>
      </c>
      <c r="J24" s="21">
        <f>0.000665*I24</f>
        <v/>
      </c>
      <c r="K24" s="18">
        <f>원데이터!G24*4.87/LN(67.8*설정!$B$4-5.42)</f>
        <v/>
      </c>
      <c r="L24" s="12">
        <f>1+0.033*COS(2*PI()*B24/365)</f>
        <v/>
      </c>
      <c r="M24" s="21">
        <f>0.409*SIN(2*PI()*B24/365-1.39)</f>
        <v/>
      </c>
      <c r="N24" s="21">
        <f>ACOS(-TAN(RADIANS(설정!$B$2))*TAN(M24))</f>
        <v/>
      </c>
      <c r="O24" s="18">
        <f>(24*60/PI())*0.082*L24*(N24*SIN(RADIANS(설정!$B$2))*SIN(M24)+COS(RADIANS(설정!$B$2))*COS(M24)*SIN(N24))</f>
        <v/>
      </c>
      <c r="P24" s="18">
        <f>(0.75+0.00002*설정!$B$3)*O24</f>
        <v/>
      </c>
      <c r="Q24" s="18">
        <f>IF(원데이터!K24&lt;&gt;"",원데이터!K24,(0.25+0.5*원데이터!L24/(24/PI()*N24))*O24)</f>
        <v/>
      </c>
      <c r="R24" s="18">
        <f>0.77*Q24</f>
        <v/>
      </c>
      <c r="S24" s="18">
        <f>0.000000004903*(((원데이터!B24+273.16)^4+(원데이터!C24+273.16)^4)/2)*(0.34-0.14*SQRT(G24))*(1.35*MIN(Q24/P24,1)-0.35)</f>
        <v/>
      </c>
      <c r="T24" s="18">
        <f>R24-S24</f>
        <v/>
      </c>
      <c r="U24" s="18">
        <f>(0.408*H24*T24+J24*(900/(C24+273))*K24*(F24-G24))/(H24+J24*(1+0.34*K24))</f>
        <v/>
      </c>
      <c r="V24" s="11">
        <f>IF(원데이터!A24-설정!$B$16&lt;0,"발아전",IF(원데이터!A24-설정!$B$16&lt;설정!$B$17,"초기",IF(원데이터!A24-설정!$B$16&lt;설정!$B$17+설정!$B$18,"발육",IF(원데이터!A24-설정!$B$16&lt;설정!$B$17+설정!$B$18+설정!$B$19,"중기",IF(원데이터!A24-설정!$B$16&lt;설정!$B$17+설정!$B$18+설정!$B$19+설정!$B$20,"후기","후기이후")))))</f>
        <v/>
      </c>
      <c r="W24" s="12">
        <f>IF(원데이터!A24-설정!$B$16&lt;0,0,IF(원데이터!A24-설정!$B$16&lt;설정!$B$17,설정!$B$33,IF(원데이터!A24-설정!$B$16&lt;설정!$B$17+설정!$B$18,설정!$B$33+(설정!$B$34-설정!$B$33)*(원데이터!A24-설정!$B$16-설정!$B$17+1)/설정!$B$18,IF(원데이터!A24-설정!$B$16&lt;설정!$B$17+설정!$B$18+설정!$B$19,설정!$B$34,IF(원데이터!A24-설정!$B$16&lt;설정!$B$17+설정!$B$18+설정!$B$19+설정!$B$20,설정!$B$34+(설정!$B$35-설정!$B$34)*(원데이터!A24-설정!$B$16-설정!$B$17-설정!$B$18-설정!$B$19+1)/설정!$B$20,0)))))</f>
        <v/>
      </c>
      <c r="X24" s="12">
        <f>0.108-0.0286*K24+0.0422*LN(설정!$B$5)+0.1434*LN(원데이터!E24)-0.000631*LN(설정!$B$5)^2*LN(원데이터!E24)</f>
        <v/>
      </c>
      <c r="Y24" s="17">
        <f>원데이터!M24</f>
        <v/>
      </c>
      <c r="Z24" s="18">
        <f>X24*Y24</f>
        <v/>
      </c>
      <c r="AA24" s="18">
        <f>U24*W24</f>
        <v/>
      </c>
      <c r="AB24" s="18">
        <f>Z24*W24</f>
        <v/>
      </c>
    </row>
    <row r="25">
      <c r="A25" s="15">
        <f>원데이터!A25</f>
        <v/>
      </c>
      <c r="B25" s="14">
        <f>원데이터!A25-DATE(YEAR(원데이터!A25),1,1)+1</f>
        <v/>
      </c>
      <c r="C25" s="17">
        <f>(원데이터!B25+원데이터!C25)/2</f>
        <v/>
      </c>
      <c r="D25" s="12">
        <f>0.6108*EXP(17.27*원데이터!B25/(원데이터!B25+237.3))</f>
        <v/>
      </c>
      <c r="E25" s="12">
        <f>0.6108*EXP(17.27*원데이터!C25/(원데이터!C25+237.3))</f>
        <v/>
      </c>
      <c r="F25" s="12">
        <f>(D25+E25)/2</f>
        <v/>
      </c>
      <c r="G25" s="12">
        <f>IF(원데이터!H25&lt;&gt;"",원데이터!H25/10,IF(원데이터!I25&lt;&gt;"",0.6108*EXP(17.27*원데이터!I25/(원데이터!I25+237.3)),원데이터!E25/100*F25))</f>
        <v/>
      </c>
      <c r="H25" s="21">
        <f>4098*(0.6108*EXP(17.27*C25/(C25+237.3)))/(C25+237.3)^2</f>
        <v/>
      </c>
      <c r="I25" s="17">
        <f>IF(원데이터!J25&lt;&gt;"",원데이터!J25/10,101.3*((293-0.0065*설정!$B$3)/293)^5.26)</f>
        <v/>
      </c>
      <c r="J25" s="21">
        <f>0.000665*I25</f>
        <v/>
      </c>
      <c r="K25" s="18">
        <f>원데이터!G25*4.87/LN(67.8*설정!$B$4-5.42)</f>
        <v/>
      </c>
      <c r="L25" s="12">
        <f>1+0.033*COS(2*PI()*B25/365)</f>
        <v/>
      </c>
      <c r="M25" s="21">
        <f>0.409*SIN(2*PI()*B25/365-1.39)</f>
        <v/>
      </c>
      <c r="N25" s="21">
        <f>ACOS(-TAN(RADIANS(설정!$B$2))*TAN(M25))</f>
        <v/>
      </c>
      <c r="O25" s="18">
        <f>(24*60/PI())*0.082*L25*(N25*SIN(RADIANS(설정!$B$2))*SIN(M25)+COS(RADIANS(설정!$B$2))*COS(M25)*SIN(N25))</f>
        <v/>
      </c>
      <c r="P25" s="18">
        <f>(0.75+0.00002*설정!$B$3)*O25</f>
        <v/>
      </c>
      <c r="Q25" s="18">
        <f>IF(원데이터!K25&lt;&gt;"",원데이터!K25,(0.25+0.5*원데이터!L25/(24/PI()*N25))*O25)</f>
        <v/>
      </c>
      <c r="R25" s="18">
        <f>0.77*Q25</f>
        <v/>
      </c>
      <c r="S25" s="18">
        <f>0.000000004903*(((원데이터!B25+273.16)^4+(원데이터!C25+273.16)^4)/2)*(0.34-0.14*SQRT(G25))*(1.35*MIN(Q25/P25,1)-0.35)</f>
        <v/>
      </c>
      <c r="T25" s="18">
        <f>R25-S25</f>
        <v/>
      </c>
      <c r="U25" s="18">
        <f>(0.408*H25*T25+J25*(900/(C25+273))*K25*(F25-G25))/(H25+J25*(1+0.34*K25))</f>
        <v/>
      </c>
      <c r="V25" s="11">
        <f>IF(원데이터!A25-설정!$B$16&lt;0,"발아전",IF(원데이터!A25-설정!$B$16&lt;설정!$B$17,"초기",IF(원데이터!A25-설정!$B$16&lt;설정!$B$17+설정!$B$18,"발육",IF(원데이터!A25-설정!$B$16&lt;설정!$B$17+설정!$B$18+설정!$B$19,"중기",IF(원데이터!A25-설정!$B$16&lt;설정!$B$17+설정!$B$18+설정!$B$19+설정!$B$20,"후기","후기이후")))))</f>
        <v/>
      </c>
      <c r="W25" s="12">
        <f>IF(원데이터!A25-설정!$B$16&lt;0,0,IF(원데이터!A25-설정!$B$16&lt;설정!$B$17,설정!$B$33,IF(원데이터!A25-설정!$B$16&lt;설정!$B$17+설정!$B$18,설정!$B$33+(설정!$B$34-설정!$B$33)*(원데이터!A25-설정!$B$16-설정!$B$17+1)/설정!$B$18,IF(원데이터!A25-설정!$B$16&lt;설정!$B$17+설정!$B$18+설정!$B$19,설정!$B$34,IF(원데이터!A25-설정!$B$16&lt;설정!$B$17+설정!$B$18+설정!$B$19+설정!$B$20,설정!$B$34+(설정!$B$35-설정!$B$34)*(원데이터!A25-설정!$B$16-설정!$B$17-설정!$B$18-설정!$B$19+1)/설정!$B$20,0)))))</f>
        <v/>
      </c>
      <c r="X25" s="12">
        <f>0.108-0.0286*K25+0.0422*LN(설정!$B$5)+0.1434*LN(원데이터!E25)-0.000631*LN(설정!$B$5)^2*LN(원데이터!E25)</f>
        <v/>
      </c>
      <c r="Y25" s="17">
        <f>원데이터!M25</f>
        <v/>
      </c>
      <c r="Z25" s="18">
        <f>X25*Y25</f>
        <v/>
      </c>
      <c r="AA25" s="18">
        <f>U25*W25</f>
        <v/>
      </c>
      <c r="AB25" s="18">
        <f>Z25*W25</f>
        <v/>
      </c>
    </row>
    <row r="26">
      <c r="A26" s="15">
        <f>원데이터!A26</f>
        <v/>
      </c>
      <c r="B26" s="14">
        <f>원데이터!A26-DATE(YEAR(원데이터!A26),1,1)+1</f>
        <v/>
      </c>
      <c r="C26" s="17">
        <f>(원데이터!B26+원데이터!C26)/2</f>
        <v/>
      </c>
      <c r="D26" s="12">
        <f>0.6108*EXP(17.27*원데이터!B26/(원데이터!B26+237.3))</f>
        <v/>
      </c>
      <c r="E26" s="12">
        <f>0.6108*EXP(17.27*원데이터!C26/(원데이터!C26+237.3))</f>
        <v/>
      </c>
      <c r="F26" s="12">
        <f>(D26+E26)/2</f>
        <v/>
      </c>
      <c r="G26" s="12">
        <f>IF(원데이터!H26&lt;&gt;"",원데이터!H26/10,IF(원데이터!I26&lt;&gt;"",0.6108*EXP(17.27*원데이터!I26/(원데이터!I26+237.3)),원데이터!E26/100*F26))</f>
        <v/>
      </c>
      <c r="H26" s="21">
        <f>4098*(0.6108*EXP(17.27*C26/(C26+237.3)))/(C26+237.3)^2</f>
        <v/>
      </c>
      <c r="I26" s="17">
        <f>IF(원데이터!J26&lt;&gt;"",원데이터!J26/10,101.3*((293-0.0065*설정!$B$3)/293)^5.26)</f>
        <v/>
      </c>
      <c r="J26" s="21">
        <f>0.000665*I26</f>
        <v/>
      </c>
      <c r="K26" s="18">
        <f>원데이터!G26*4.87/LN(67.8*설정!$B$4-5.42)</f>
        <v/>
      </c>
      <c r="L26" s="12">
        <f>1+0.033*COS(2*PI()*B26/365)</f>
        <v/>
      </c>
      <c r="M26" s="21">
        <f>0.409*SIN(2*PI()*B26/365-1.39)</f>
        <v/>
      </c>
      <c r="N26" s="21">
        <f>ACOS(-TAN(RADIANS(설정!$B$2))*TAN(M26))</f>
        <v/>
      </c>
      <c r="O26" s="18">
        <f>(24*60/PI())*0.082*L26*(N26*SIN(RADIANS(설정!$B$2))*SIN(M26)+COS(RADIANS(설정!$B$2))*COS(M26)*SIN(N26))</f>
        <v/>
      </c>
      <c r="P26" s="18">
        <f>(0.75+0.00002*설정!$B$3)*O26</f>
        <v/>
      </c>
      <c r="Q26" s="18">
        <f>IF(원데이터!K26&lt;&gt;"",원데이터!K26,(0.25+0.5*원데이터!L26/(24/PI()*N26))*O26)</f>
        <v/>
      </c>
      <c r="R26" s="18">
        <f>0.77*Q26</f>
        <v/>
      </c>
      <c r="S26" s="18">
        <f>0.000000004903*(((원데이터!B26+273.16)^4+(원데이터!C26+273.16)^4)/2)*(0.34-0.14*SQRT(G26))*(1.35*MIN(Q26/P26,1)-0.35)</f>
        <v/>
      </c>
      <c r="T26" s="18">
        <f>R26-S26</f>
        <v/>
      </c>
      <c r="U26" s="18">
        <f>(0.408*H26*T26+J26*(900/(C26+273))*K26*(F26-G26))/(H26+J26*(1+0.34*K26))</f>
        <v/>
      </c>
      <c r="V26" s="11">
        <f>IF(원데이터!A26-설정!$B$16&lt;0,"발아전",IF(원데이터!A26-설정!$B$16&lt;설정!$B$17,"초기",IF(원데이터!A26-설정!$B$16&lt;설정!$B$17+설정!$B$18,"발육",IF(원데이터!A26-설정!$B$16&lt;설정!$B$17+설정!$B$18+설정!$B$19,"중기",IF(원데이터!A26-설정!$B$16&lt;설정!$B$17+설정!$B$18+설정!$B$19+설정!$B$20,"후기","후기이후")))))</f>
        <v/>
      </c>
      <c r="W26" s="12">
        <f>IF(원데이터!A26-설정!$B$16&lt;0,0,IF(원데이터!A26-설정!$B$16&lt;설정!$B$17,설정!$B$33,IF(원데이터!A26-설정!$B$16&lt;설정!$B$17+설정!$B$18,설정!$B$33+(설정!$B$34-설정!$B$33)*(원데이터!A26-설정!$B$16-설정!$B$17+1)/설정!$B$18,IF(원데이터!A26-설정!$B$16&lt;설정!$B$17+설정!$B$18+설정!$B$19,설정!$B$34,IF(원데이터!A26-설정!$B$16&lt;설정!$B$17+설정!$B$18+설정!$B$19+설정!$B$20,설정!$B$34+(설정!$B$35-설정!$B$34)*(원데이터!A26-설정!$B$16-설정!$B$17-설정!$B$18-설정!$B$19+1)/설정!$B$20,0)))))</f>
        <v/>
      </c>
      <c r="X26" s="12">
        <f>0.108-0.0286*K26+0.0422*LN(설정!$B$5)+0.1434*LN(원데이터!E26)-0.000631*LN(설정!$B$5)^2*LN(원데이터!E26)</f>
        <v/>
      </c>
      <c r="Y26" s="17">
        <f>원데이터!M26</f>
        <v/>
      </c>
      <c r="Z26" s="18">
        <f>X26*Y26</f>
        <v/>
      </c>
      <c r="AA26" s="18">
        <f>U26*W26</f>
        <v/>
      </c>
      <c r="AB26" s="18">
        <f>Z26*W26</f>
        <v/>
      </c>
    </row>
    <row r="27">
      <c r="A27" s="15">
        <f>원데이터!A27</f>
        <v/>
      </c>
      <c r="B27" s="14">
        <f>원데이터!A27-DATE(YEAR(원데이터!A27),1,1)+1</f>
        <v/>
      </c>
      <c r="C27" s="17">
        <f>(원데이터!B27+원데이터!C27)/2</f>
        <v/>
      </c>
      <c r="D27" s="12">
        <f>0.6108*EXP(17.27*원데이터!B27/(원데이터!B27+237.3))</f>
        <v/>
      </c>
      <c r="E27" s="12">
        <f>0.6108*EXP(17.27*원데이터!C27/(원데이터!C27+237.3))</f>
        <v/>
      </c>
      <c r="F27" s="12">
        <f>(D27+E27)/2</f>
        <v/>
      </c>
      <c r="G27" s="12">
        <f>IF(원데이터!H27&lt;&gt;"",원데이터!H27/10,IF(원데이터!I27&lt;&gt;"",0.6108*EXP(17.27*원데이터!I27/(원데이터!I27+237.3)),원데이터!E27/100*F27))</f>
        <v/>
      </c>
      <c r="H27" s="21">
        <f>4098*(0.6108*EXP(17.27*C27/(C27+237.3)))/(C27+237.3)^2</f>
        <v/>
      </c>
      <c r="I27" s="17">
        <f>IF(원데이터!J27&lt;&gt;"",원데이터!J27/10,101.3*((293-0.0065*설정!$B$3)/293)^5.26)</f>
        <v/>
      </c>
      <c r="J27" s="21">
        <f>0.000665*I27</f>
        <v/>
      </c>
      <c r="K27" s="18">
        <f>원데이터!G27*4.87/LN(67.8*설정!$B$4-5.42)</f>
        <v/>
      </c>
      <c r="L27" s="12">
        <f>1+0.033*COS(2*PI()*B27/365)</f>
        <v/>
      </c>
      <c r="M27" s="21">
        <f>0.409*SIN(2*PI()*B27/365-1.39)</f>
        <v/>
      </c>
      <c r="N27" s="21">
        <f>ACOS(-TAN(RADIANS(설정!$B$2))*TAN(M27))</f>
        <v/>
      </c>
      <c r="O27" s="18">
        <f>(24*60/PI())*0.082*L27*(N27*SIN(RADIANS(설정!$B$2))*SIN(M27)+COS(RADIANS(설정!$B$2))*COS(M27)*SIN(N27))</f>
        <v/>
      </c>
      <c r="P27" s="18">
        <f>(0.75+0.00002*설정!$B$3)*O27</f>
        <v/>
      </c>
      <c r="Q27" s="18">
        <f>IF(원데이터!K27&lt;&gt;"",원데이터!K27,(0.25+0.5*원데이터!L27/(24/PI()*N27))*O27)</f>
        <v/>
      </c>
      <c r="R27" s="18">
        <f>0.77*Q27</f>
        <v/>
      </c>
      <c r="S27" s="18">
        <f>0.000000004903*(((원데이터!B27+273.16)^4+(원데이터!C27+273.16)^4)/2)*(0.34-0.14*SQRT(G27))*(1.35*MIN(Q27/P27,1)-0.35)</f>
        <v/>
      </c>
      <c r="T27" s="18">
        <f>R27-S27</f>
        <v/>
      </c>
      <c r="U27" s="18">
        <f>(0.408*H27*T27+J27*(900/(C27+273))*K27*(F27-G27))/(H27+J27*(1+0.34*K27))</f>
        <v/>
      </c>
      <c r="V27" s="11">
        <f>IF(원데이터!A27-설정!$B$16&lt;0,"발아전",IF(원데이터!A27-설정!$B$16&lt;설정!$B$17,"초기",IF(원데이터!A27-설정!$B$16&lt;설정!$B$17+설정!$B$18,"발육",IF(원데이터!A27-설정!$B$16&lt;설정!$B$17+설정!$B$18+설정!$B$19,"중기",IF(원데이터!A27-설정!$B$16&lt;설정!$B$17+설정!$B$18+설정!$B$19+설정!$B$20,"후기","후기이후")))))</f>
        <v/>
      </c>
      <c r="W27" s="12">
        <f>IF(원데이터!A27-설정!$B$16&lt;0,0,IF(원데이터!A27-설정!$B$16&lt;설정!$B$17,설정!$B$33,IF(원데이터!A27-설정!$B$16&lt;설정!$B$17+설정!$B$18,설정!$B$33+(설정!$B$34-설정!$B$33)*(원데이터!A27-설정!$B$16-설정!$B$17+1)/설정!$B$18,IF(원데이터!A27-설정!$B$16&lt;설정!$B$17+설정!$B$18+설정!$B$19,설정!$B$34,IF(원데이터!A27-설정!$B$16&lt;설정!$B$17+설정!$B$18+설정!$B$19+설정!$B$20,설정!$B$34+(설정!$B$35-설정!$B$34)*(원데이터!A27-설정!$B$16-설정!$B$17-설정!$B$18-설정!$B$19+1)/설정!$B$20,0)))))</f>
        <v/>
      </c>
      <c r="X27" s="12">
        <f>0.108-0.0286*K27+0.0422*LN(설정!$B$5)+0.1434*LN(원데이터!E27)-0.000631*LN(설정!$B$5)^2*LN(원데이터!E27)</f>
        <v/>
      </c>
      <c r="Y27" s="17">
        <f>원데이터!M27</f>
        <v/>
      </c>
      <c r="Z27" s="18">
        <f>X27*Y27</f>
        <v/>
      </c>
      <c r="AA27" s="18">
        <f>U27*W27</f>
        <v/>
      </c>
      <c r="AB27" s="18">
        <f>Z27*W27</f>
        <v/>
      </c>
    </row>
    <row r="28">
      <c r="A28" s="15">
        <f>원데이터!A28</f>
        <v/>
      </c>
      <c r="B28" s="14">
        <f>원데이터!A28-DATE(YEAR(원데이터!A28),1,1)+1</f>
        <v/>
      </c>
      <c r="C28" s="17">
        <f>(원데이터!B28+원데이터!C28)/2</f>
        <v/>
      </c>
      <c r="D28" s="12">
        <f>0.6108*EXP(17.27*원데이터!B28/(원데이터!B28+237.3))</f>
        <v/>
      </c>
      <c r="E28" s="12">
        <f>0.6108*EXP(17.27*원데이터!C28/(원데이터!C28+237.3))</f>
        <v/>
      </c>
      <c r="F28" s="12">
        <f>(D28+E28)/2</f>
        <v/>
      </c>
      <c r="G28" s="12">
        <f>IF(원데이터!H28&lt;&gt;"",원데이터!H28/10,IF(원데이터!I28&lt;&gt;"",0.6108*EXP(17.27*원데이터!I28/(원데이터!I28+237.3)),원데이터!E28/100*F28))</f>
        <v/>
      </c>
      <c r="H28" s="21">
        <f>4098*(0.6108*EXP(17.27*C28/(C28+237.3)))/(C28+237.3)^2</f>
        <v/>
      </c>
      <c r="I28" s="17">
        <f>IF(원데이터!J28&lt;&gt;"",원데이터!J28/10,101.3*((293-0.0065*설정!$B$3)/293)^5.26)</f>
        <v/>
      </c>
      <c r="J28" s="21">
        <f>0.000665*I28</f>
        <v/>
      </c>
      <c r="K28" s="18">
        <f>원데이터!G28*4.87/LN(67.8*설정!$B$4-5.42)</f>
        <v/>
      </c>
      <c r="L28" s="12">
        <f>1+0.033*COS(2*PI()*B28/365)</f>
        <v/>
      </c>
      <c r="M28" s="21">
        <f>0.409*SIN(2*PI()*B28/365-1.39)</f>
        <v/>
      </c>
      <c r="N28" s="21">
        <f>ACOS(-TAN(RADIANS(설정!$B$2))*TAN(M28))</f>
        <v/>
      </c>
      <c r="O28" s="18">
        <f>(24*60/PI())*0.082*L28*(N28*SIN(RADIANS(설정!$B$2))*SIN(M28)+COS(RADIANS(설정!$B$2))*COS(M28)*SIN(N28))</f>
        <v/>
      </c>
      <c r="P28" s="18">
        <f>(0.75+0.00002*설정!$B$3)*O28</f>
        <v/>
      </c>
      <c r="Q28" s="18">
        <f>IF(원데이터!K28&lt;&gt;"",원데이터!K28,(0.25+0.5*원데이터!L28/(24/PI()*N28))*O28)</f>
        <v/>
      </c>
      <c r="R28" s="18">
        <f>0.77*Q28</f>
        <v/>
      </c>
      <c r="S28" s="18">
        <f>0.000000004903*(((원데이터!B28+273.16)^4+(원데이터!C28+273.16)^4)/2)*(0.34-0.14*SQRT(G28))*(1.35*MIN(Q28/P28,1)-0.35)</f>
        <v/>
      </c>
      <c r="T28" s="18">
        <f>R28-S28</f>
        <v/>
      </c>
      <c r="U28" s="18">
        <f>(0.408*H28*T28+J28*(900/(C28+273))*K28*(F28-G28))/(H28+J28*(1+0.34*K28))</f>
        <v/>
      </c>
      <c r="V28" s="11">
        <f>IF(원데이터!A28-설정!$B$16&lt;0,"발아전",IF(원데이터!A28-설정!$B$16&lt;설정!$B$17,"초기",IF(원데이터!A28-설정!$B$16&lt;설정!$B$17+설정!$B$18,"발육",IF(원데이터!A28-설정!$B$16&lt;설정!$B$17+설정!$B$18+설정!$B$19,"중기",IF(원데이터!A28-설정!$B$16&lt;설정!$B$17+설정!$B$18+설정!$B$19+설정!$B$20,"후기","후기이후")))))</f>
        <v/>
      </c>
      <c r="W28" s="12">
        <f>IF(원데이터!A28-설정!$B$16&lt;0,0,IF(원데이터!A28-설정!$B$16&lt;설정!$B$17,설정!$B$33,IF(원데이터!A28-설정!$B$16&lt;설정!$B$17+설정!$B$18,설정!$B$33+(설정!$B$34-설정!$B$33)*(원데이터!A28-설정!$B$16-설정!$B$17+1)/설정!$B$18,IF(원데이터!A28-설정!$B$16&lt;설정!$B$17+설정!$B$18+설정!$B$19,설정!$B$34,IF(원데이터!A28-설정!$B$16&lt;설정!$B$17+설정!$B$18+설정!$B$19+설정!$B$20,설정!$B$34+(설정!$B$35-설정!$B$34)*(원데이터!A28-설정!$B$16-설정!$B$17-설정!$B$18-설정!$B$19+1)/설정!$B$20,0)))))</f>
        <v/>
      </c>
      <c r="X28" s="12">
        <f>0.108-0.0286*K28+0.0422*LN(설정!$B$5)+0.1434*LN(원데이터!E28)-0.000631*LN(설정!$B$5)^2*LN(원데이터!E28)</f>
        <v/>
      </c>
      <c r="Y28" s="17">
        <f>원데이터!M28</f>
        <v/>
      </c>
      <c r="Z28" s="18">
        <f>X28*Y28</f>
        <v/>
      </c>
      <c r="AA28" s="18">
        <f>U28*W28</f>
        <v/>
      </c>
      <c r="AB28" s="18">
        <f>Z28*W28</f>
        <v/>
      </c>
    </row>
    <row r="29">
      <c r="A29" s="15">
        <f>원데이터!A29</f>
        <v/>
      </c>
      <c r="B29" s="14">
        <f>원데이터!A29-DATE(YEAR(원데이터!A29),1,1)+1</f>
        <v/>
      </c>
      <c r="C29" s="17">
        <f>(원데이터!B29+원데이터!C29)/2</f>
        <v/>
      </c>
      <c r="D29" s="12">
        <f>0.6108*EXP(17.27*원데이터!B29/(원데이터!B29+237.3))</f>
        <v/>
      </c>
      <c r="E29" s="12">
        <f>0.6108*EXP(17.27*원데이터!C29/(원데이터!C29+237.3))</f>
        <v/>
      </c>
      <c r="F29" s="12">
        <f>(D29+E29)/2</f>
        <v/>
      </c>
      <c r="G29" s="12">
        <f>IF(원데이터!H29&lt;&gt;"",원데이터!H29/10,IF(원데이터!I29&lt;&gt;"",0.6108*EXP(17.27*원데이터!I29/(원데이터!I29+237.3)),원데이터!E29/100*F29))</f>
        <v/>
      </c>
      <c r="H29" s="21">
        <f>4098*(0.6108*EXP(17.27*C29/(C29+237.3)))/(C29+237.3)^2</f>
        <v/>
      </c>
      <c r="I29" s="17">
        <f>IF(원데이터!J29&lt;&gt;"",원데이터!J29/10,101.3*((293-0.0065*설정!$B$3)/293)^5.26)</f>
        <v/>
      </c>
      <c r="J29" s="21">
        <f>0.000665*I29</f>
        <v/>
      </c>
      <c r="K29" s="18">
        <f>원데이터!G29*4.87/LN(67.8*설정!$B$4-5.42)</f>
        <v/>
      </c>
      <c r="L29" s="12">
        <f>1+0.033*COS(2*PI()*B29/365)</f>
        <v/>
      </c>
      <c r="M29" s="21">
        <f>0.409*SIN(2*PI()*B29/365-1.39)</f>
        <v/>
      </c>
      <c r="N29" s="21">
        <f>ACOS(-TAN(RADIANS(설정!$B$2))*TAN(M29))</f>
        <v/>
      </c>
      <c r="O29" s="18">
        <f>(24*60/PI())*0.082*L29*(N29*SIN(RADIANS(설정!$B$2))*SIN(M29)+COS(RADIANS(설정!$B$2))*COS(M29)*SIN(N29))</f>
        <v/>
      </c>
      <c r="P29" s="18">
        <f>(0.75+0.00002*설정!$B$3)*O29</f>
        <v/>
      </c>
      <c r="Q29" s="18">
        <f>IF(원데이터!K29&lt;&gt;"",원데이터!K29,(0.25+0.5*원데이터!L29/(24/PI()*N29))*O29)</f>
        <v/>
      </c>
      <c r="R29" s="18">
        <f>0.77*Q29</f>
        <v/>
      </c>
      <c r="S29" s="18">
        <f>0.000000004903*(((원데이터!B29+273.16)^4+(원데이터!C29+273.16)^4)/2)*(0.34-0.14*SQRT(G29))*(1.35*MIN(Q29/P29,1)-0.35)</f>
        <v/>
      </c>
      <c r="T29" s="18">
        <f>R29-S29</f>
        <v/>
      </c>
      <c r="U29" s="18">
        <f>(0.408*H29*T29+J29*(900/(C29+273))*K29*(F29-G29))/(H29+J29*(1+0.34*K29))</f>
        <v/>
      </c>
      <c r="V29" s="11">
        <f>IF(원데이터!A29-설정!$B$16&lt;0,"발아전",IF(원데이터!A29-설정!$B$16&lt;설정!$B$17,"초기",IF(원데이터!A29-설정!$B$16&lt;설정!$B$17+설정!$B$18,"발육",IF(원데이터!A29-설정!$B$16&lt;설정!$B$17+설정!$B$18+설정!$B$19,"중기",IF(원데이터!A29-설정!$B$16&lt;설정!$B$17+설정!$B$18+설정!$B$19+설정!$B$20,"후기","후기이후")))))</f>
        <v/>
      </c>
      <c r="W29" s="12">
        <f>IF(원데이터!A29-설정!$B$16&lt;0,0,IF(원데이터!A29-설정!$B$16&lt;설정!$B$17,설정!$B$33,IF(원데이터!A29-설정!$B$16&lt;설정!$B$17+설정!$B$18,설정!$B$33+(설정!$B$34-설정!$B$33)*(원데이터!A29-설정!$B$16-설정!$B$17+1)/설정!$B$18,IF(원데이터!A29-설정!$B$16&lt;설정!$B$17+설정!$B$18+설정!$B$19,설정!$B$34,IF(원데이터!A29-설정!$B$16&lt;설정!$B$17+설정!$B$18+설정!$B$19+설정!$B$20,설정!$B$34+(설정!$B$35-설정!$B$34)*(원데이터!A29-설정!$B$16-설정!$B$17-설정!$B$18-설정!$B$19+1)/설정!$B$20,0)))))</f>
        <v/>
      </c>
      <c r="X29" s="12">
        <f>0.108-0.0286*K29+0.0422*LN(설정!$B$5)+0.1434*LN(원데이터!E29)-0.000631*LN(설정!$B$5)^2*LN(원데이터!E29)</f>
        <v/>
      </c>
      <c r="Y29" s="17">
        <f>원데이터!M29</f>
        <v/>
      </c>
      <c r="Z29" s="18">
        <f>X29*Y29</f>
        <v/>
      </c>
      <c r="AA29" s="18">
        <f>U29*W29</f>
        <v/>
      </c>
      <c r="AB29" s="18">
        <f>Z29*W29</f>
        <v/>
      </c>
    </row>
    <row r="30">
      <c r="A30" s="15">
        <f>원데이터!A30</f>
        <v/>
      </c>
      <c r="B30" s="14">
        <f>원데이터!A30-DATE(YEAR(원데이터!A30),1,1)+1</f>
        <v/>
      </c>
      <c r="C30" s="17">
        <f>(원데이터!B30+원데이터!C30)/2</f>
        <v/>
      </c>
      <c r="D30" s="12">
        <f>0.6108*EXP(17.27*원데이터!B30/(원데이터!B30+237.3))</f>
        <v/>
      </c>
      <c r="E30" s="12">
        <f>0.6108*EXP(17.27*원데이터!C30/(원데이터!C30+237.3))</f>
        <v/>
      </c>
      <c r="F30" s="12">
        <f>(D30+E30)/2</f>
        <v/>
      </c>
      <c r="G30" s="12">
        <f>IF(원데이터!H30&lt;&gt;"",원데이터!H30/10,IF(원데이터!I30&lt;&gt;"",0.6108*EXP(17.27*원데이터!I30/(원데이터!I30+237.3)),원데이터!E30/100*F30))</f>
        <v/>
      </c>
      <c r="H30" s="21">
        <f>4098*(0.6108*EXP(17.27*C30/(C30+237.3)))/(C30+237.3)^2</f>
        <v/>
      </c>
      <c r="I30" s="17">
        <f>IF(원데이터!J30&lt;&gt;"",원데이터!J30/10,101.3*((293-0.0065*설정!$B$3)/293)^5.26)</f>
        <v/>
      </c>
      <c r="J30" s="21">
        <f>0.000665*I30</f>
        <v/>
      </c>
      <c r="K30" s="18">
        <f>원데이터!G30*4.87/LN(67.8*설정!$B$4-5.42)</f>
        <v/>
      </c>
      <c r="L30" s="12">
        <f>1+0.033*COS(2*PI()*B30/365)</f>
        <v/>
      </c>
      <c r="M30" s="21">
        <f>0.409*SIN(2*PI()*B30/365-1.39)</f>
        <v/>
      </c>
      <c r="N30" s="21">
        <f>ACOS(-TAN(RADIANS(설정!$B$2))*TAN(M30))</f>
        <v/>
      </c>
      <c r="O30" s="18">
        <f>(24*60/PI())*0.082*L30*(N30*SIN(RADIANS(설정!$B$2))*SIN(M30)+COS(RADIANS(설정!$B$2))*COS(M30)*SIN(N30))</f>
        <v/>
      </c>
      <c r="P30" s="18">
        <f>(0.75+0.00002*설정!$B$3)*O30</f>
        <v/>
      </c>
      <c r="Q30" s="18">
        <f>IF(원데이터!K30&lt;&gt;"",원데이터!K30,(0.25+0.5*원데이터!L30/(24/PI()*N30))*O30)</f>
        <v/>
      </c>
      <c r="R30" s="18">
        <f>0.77*Q30</f>
        <v/>
      </c>
      <c r="S30" s="18">
        <f>0.000000004903*(((원데이터!B30+273.16)^4+(원데이터!C30+273.16)^4)/2)*(0.34-0.14*SQRT(G30))*(1.35*MIN(Q30/P30,1)-0.35)</f>
        <v/>
      </c>
      <c r="T30" s="18">
        <f>R30-S30</f>
        <v/>
      </c>
      <c r="U30" s="18">
        <f>(0.408*H30*T30+J30*(900/(C30+273))*K30*(F30-G30))/(H30+J30*(1+0.34*K30))</f>
        <v/>
      </c>
      <c r="V30" s="11">
        <f>IF(원데이터!A30-설정!$B$16&lt;0,"발아전",IF(원데이터!A30-설정!$B$16&lt;설정!$B$17,"초기",IF(원데이터!A30-설정!$B$16&lt;설정!$B$17+설정!$B$18,"발육",IF(원데이터!A30-설정!$B$16&lt;설정!$B$17+설정!$B$18+설정!$B$19,"중기",IF(원데이터!A30-설정!$B$16&lt;설정!$B$17+설정!$B$18+설정!$B$19+설정!$B$20,"후기","후기이후")))))</f>
        <v/>
      </c>
      <c r="W30" s="12">
        <f>IF(원데이터!A30-설정!$B$16&lt;0,0,IF(원데이터!A30-설정!$B$16&lt;설정!$B$17,설정!$B$33,IF(원데이터!A30-설정!$B$16&lt;설정!$B$17+설정!$B$18,설정!$B$33+(설정!$B$34-설정!$B$33)*(원데이터!A30-설정!$B$16-설정!$B$17+1)/설정!$B$18,IF(원데이터!A30-설정!$B$16&lt;설정!$B$17+설정!$B$18+설정!$B$19,설정!$B$34,IF(원데이터!A30-설정!$B$16&lt;설정!$B$17+설정!$B$18+설정!$B$19+설정!$B$20,설정!$B$34+(설정!$B$35-설정!$B$34)*(원데이터!A30-설정!$B$16-설정!$B$17-설정!$B$18-설정!$B$19+1)/설정!$B$20,0)))))</f>
        <v/>
      </c>
      <c r="X30" s="12">
        <f>0.108-0.0286*K30+0.0422*LN(설정!$B$5)+0.1434*LN(원데이터!E30)-0.000631*LN(설정!$B$5)^2*LN(원데이터!E30)</f>
        <v/>
      </c>
      <c r="Y30" s="17">
        <f>원데이터!M30</f>
        <v/>
      </c>
      <c r="Z30" s="18">
        <f>X30*Y30</f>
        <v/>
      </c>
      <c r="AA30" s="18">
        <f>U30*W30</f>
        <v/>
      </c>
      <c r="AB30" s="18">
        <f>Z30*W30</f>
        <v/>
      </c>
    </row>
    <row r="31">
      <c r="A31" s="15">
        <f>원데이터!A31</f>
        <v/>
      </c>
      <c r="B31" s="14">
        <f>원데이터!A31-DATE(YEAR(원데이터!A31),1,1)+1</f>
        <v/>
      </c>
      <c r="C31" s="17">
        <f>(원데이터!B31+원데이터!C31)/2</f>
        <v/>
      </c>
      <c r="D31" s="12">
        <f>0.6108*EXP(17.27*원데이터!B31/(원데이터!B31+237.3))</f>
        <v/>
      </c>
      <c r="E31" s="12">
        <f>0.6108*EXP(17.27*원데이터!C31/(원데이터!C31+237.3))</f>
        <v/>
      </c>
      <c r="F31" s="12">
        <f>(D31+E31)/2</f>
        <v/>
      </c>
      <c r="G31" s="12">
        <f>IF(원데이터!H31&lt;&gt;"",원데이터!H31/10,IF(원데이터!I31&lt;&gt;"",0.6108*EXP(17.27*원데이터!I31/(원데이터!I31+237.3)),원데이터!E31/100*F31))</f>
        <v/>
      </c>
      <c r="H31" s="21">
        <f>4098*(0.6108*EXP(17.27*C31/(C31+237.3)))/(C31+237.3)^2</f>
        <v/>
      </c>
      <c r="I31" s="17">
        <f>IF(원데이터!J31&lt;&gt;"",원데이터!J31/10,101.3*((293-0.0065*설정!$B$3)/293)^5.26)</f>
        <v/>
      </c>
      <c r="J31" s="21">
        <f>0.000665*I31</f>
        <v/>
      </c>
      <c r="K31" s="18">
        <f>원데이터!G31*4.87/LN(67.8*설정!$B$4-5.42)</f>
        <v/>
      </c>
      <c r="L31" s="12">
        <f>1+0.033*COS(2*PI()*B31/365)</f>
        <v/>
      </c>
      <c r="M31" s="21">
        <f>0.409*SIN(2*PI()*B31/365-1.39)</f>
        <v/>
      </c>
      <c r="N31" s="21">
        <f>ACOS(-TAN(RADIANS(설정!$B$2))*TAN(M31))</f>
        <v/>
      </c>
      <c r="O31" s="18">
        <f>(24*60/PI())*0.082*L31*(N31*SIN(RADIANS(설정!$B$2))*SIN(M31)+COS(RADIANS(설정!$B$2))*COS(M31)*SIN(N31))</f>
        <v/>
      </c>
      <c r="P31" s="18">
        <f>(0.75+0.00002*설정!$B$3)*O31</f>
        <v/>
      </c>
      <c r="Q31" s="18">
        <f>IF(원데이터!K31&lt;&gt;"",원데이터!K31,(0.25+0.5*원데이터!L31/(24/PI()*N31))*O31)</f>
        <v/>
      </c>
      <c r="R31" s="18">
        <f>0.77*Q31</f>
        <v/>
      </c>
      <c r="S31" s="18">
        <f>0.000000004903*(((원데이터!B31+273.16)^4+(원데이터!C31+273.16)^4)/2)*(0.34-0.14*SQRT(G31))*(1.35*MIN(Q31/P31,1)-0.35)</f>
        <v/>
      </c>
      <c r="T31" s="18">
        <f>R31-S31</f>
        <v/>
      </c>
      <c r="U31" s="18">
        <f>(0.408*H31*T31+J31*(900/(C31+273))*K31*(F31-G31))/(H31+J31*(1+0.34*K31))</f>
        <v/>
      </c>
      <c r="V31" s="11">
        <f>IF(원데이터!A31-설정!$B$16&lt;0,"발아전",IF(원데이터!A31-설정!$B$16&lt;설정!$B$17,"초기",IF(원데이터!A31-설정!$B$16&lt;설정!$B$17+설정!$B$18,"발육",IF(원데이터!A31-설정!$B$16&lt;설정!$B$17+설정!$B$18+설정!$B$19,"중기",IF(원데이터!A31-설정!$B$16&lt;설정!$B$17+설정!$B$18+설정!$B$19+설정!$B$20,"후기","후기이후")))))</f>
        <v/>
      </c>
      <c r="W31" s="12">
        <f>IF(원데이터!A31-설정!$B$16&lt;0,0,IF(원데이터!A31-설정!$B$16&lt;설정!$B$17,설정!$B$33,IF(원데이터!A31-설정!$B$16&lt;설정!$B$17+설정!$B$18,설정!$B$33+(설정!$B$34-설정!$B$33)*(원데이터!A31-설정!$B$16-설정!$B$17+1)/설정!$B$18,IF(원데이터!A31-설정!$B$16&lt;설정!$B$17+설정!$B$18+설정!$B$19,설정!$B$34,IF(원데이터!A31-설정!$B$16&lt;설정!$B$17+설정!$B$18+설정!$B$19+설정!$B$20,설정!$B$34+(설정!$B$35-설정!$B$34)*(원데이터!A31-설정!$B$16-설정!$B$17-설정!$B$18-설정!$B$19+1)/설정!$B$20,0)))))</f>
        <v/>
      </c>
      <c r="X31" s="12">
        <f>0.108-0.0286*K31+0.0422*LN(설정!$B$5)+0.1434*LN(원데이터!E31)-0.000631*LN(설정!$B$5)^2*LN(원데이터!E31)</f>
        <v/>
      </c>
      <c r="Y31" s="17">
        <f>원데이터!M31</f>
        <v/>
      </c>
      <c r="Z31" s="18">
        <f>X31*Y31</f>
        <v/>
      </c>
      <c r="AA31" s="18">
        <f>U31*W31</f>
        <v/>
      </c>
      <c r="AB31" s="18">
        <f>Z31*W31</f>
        <v/>
      </c>
    </row>
    <row r="32">
      <c r="A32" s="15">
        <f>원데이터!A32</f>
        <v/>
      </c>
      <c r="B32" s="14">
        <f>원데이터!A32-DATE(YEAR(원데이터!A32),1,1)+1</f>
        <v/>
      </c>
      <c r="C32" s="17">
        <f>(원데이터!B32+원데이터!C32)/2</f>
        <v/>
      </c>
      <c r="D32" s="12">
        <f>0.6108*EXP(17.27*원데이터!B32/(원데이터!B32+237.3))</f>
        <v/>
      </c>
      <c r="E32" s="12">
        <f>0.6108*EXP(17.27*원데이터!C32/(원데이터!C32+237.3))</f>
        <v/>
      </c>
      <c r="F32" s="12">
        <f>(D32+E32)/2</f>
        <v/>
      </c>
      <c r="G32" s="12">
        <f>IF(원데이터!H32&lt;&gt;"",원데이터!H32/10,IF(원데이터!I32&lt;&gt;"",0.6108*EXP(17.27*원데이터!I32/(원데이터!I32+237.3)),원데이터!E32/100*F32))</f>
        <v/>
      </c>
      <c r="H32" s="21">
        <f>4098*(0.6108*EXP(17.27*C32/(C32+237.3)))/(C32+237.3)^2</f>
        <v/>
      </c>
      <c r="I32" s="17">
        <f>IF(원데이터!J32&lt;&gt;"",원데이터!J32/10,101.3*((293-0.0065*설정!$B$3)/293)^5.26)</f>
        <v/>
      </c>
      <c r="J32" s="21">
        <f>0.000665*I32</f>
        <v/>
      </c>
      <c r="K32" s="18">
        <f>원데이터!G32*4.87/LN(67.8*설정!$B$4-5.42)</f>
        <v/>
      </c>
      <c r="L32" s="12">
        <f>1+0.033*COS(2*PI()*B32/365)</f>
        <v/>
      </c>
      <c r="M32" s="21">
        <f>0.409*SIN(2*PI()*B32/365-1.39)</f>
        <v/>
      </c>
      <c r="N32" s="21">
        <f>ACOS(-TAN(RADIANS(설정!$B$2))*TAN(M32))</f>
        <v/>
      </c>
      <c r="O32" s="18">
        <f>(24*60/PI())*0.082*L32*(N32*SIN(RADIANS(설정!$B$2))*SIN(M32)+COS(RADIANS(설정!$B$2))*COS(M32)*SIN(N32))</f>
        <v/>
      </c>
      <c r="P32" s="18">
        <f>(0.75+0.00002*설정!$B$3)*O32</f>
        <v/>
      </c>
      <c r="Q32" s="18">
        <f>IF(원데이터!K32&lt;&gt;"",원데이터!K32,(0.25+0.5*원데이터!L32/(24/PI()*N32))*O32)</f>
        <v/>
      </c>
      <c r="R32" s="18">
        <f>0.77*Q32</f>
        <v/>
      </c>
      <c r="S32" s="18">
        <f>0.000000004903*(((원데이터!B32+273.16)^4+(원데이터!C32+273.16)^4)/2)*(0.34-0.14*SQRT(G32))*(1.35*MIN(Q32/P32,1)-0.35)</f>
        <v/>
      </c>
      <c r="T32" s="18">
        <f>R32-S32</f>
        <v/>
      </c>
      <c r="U32" s="18">
        <f>(0.408*H32*T32+J32*(900/(C32+273))*K32*(F32-G32))/(H32+J32*(1+0.34*K32))</f>
        <v/>
      </c>
      <c r="V32" s="11">
        <f>IF(원데이터!A32-설정!$B$16&lt;0,"발아전",IF(원데이터!A32-설정!$B$16&lt;설정!$B$17,"초기",IF(원데이터!A32-설정!$B$16&lt;설정!$B$17+설정!$B$18,"발육",IF(원데이터!A32-설정!$B$16&lt;설정!$B$17+설정!$B$18+설정!$B$19,"중기",IF(원데이터!A32-설정!$B$16&lt;설정!$B$17+설정!$B$18+설정!$B$19+설정!$B$20,"후기","후기이후")))))</f>
        <v/>
      </c>
      <c r="W32" s="12">
        <f>IF(원데이터!A32-설정!$B$16&lt;0,0,IF(원데이터!A32-설정!$B$16&lt;설정!$B$17,설정!$B$33,IF(원데이터!A32-설정!$B$16&lt;설정!$B$17+설정!$B$18,설정!$B$33+(설정!$B$34-설정!$B$33)*(원데이터!A32-설정!$B$16-설정!$B$17+1)/설정!$B$18,IF(원데이터!A32-설정!$B$16&lt;설정!$B$17+설정!$B$18+설정!$B$19,설정!$B$34,IF(원데이터!A32-설정!$B$16&lt;설정!$B$17+설정!$B$18+설정!$B$19+설정!$B$20,설정!$B$34+(설정!$B$35-설정!$B$34)*(원데이터!A32-설정!$B$16-설정!$B$17-설정!$B$18-설정!$B$19+1)/설정!$B$20,0)))))</f>
        <v/>
      </c>
      <c r="X32" s="12">
        <f>0.108-0.0286*K32+0.0422*LN(설정!$B$5)+0.1434*LN(원데이터!E32)-0.000631*LN(설정!$B$5)^2*LN(원데이터!E32)</f>
        <v/>
      </c>
      <c r="Y32" s="17">
        <f>원데이터!M32</f>
        <v/>
      </c>
      <c r="Z32" s="18">
        <f>X32*Y32</f>
        <v/>
      </c>
      <c r="AA32" s="18">
        <f>U32*W32</f>
        <v/>
      </c>
      <c r="AB32" s="18">
        <f>Z32*W32</f>
        <v/>
      </c>
    </row>
    <row r="33">
      <c r="A33" s="15">
        <f>원데이터!A33</f>
        <v/>
      </c>
      <c r="B33" s="14">
        <f>원데이터!A33-DATE(YEAR(원데이터!A33),1,1)+1</f>
        <v/>
      </c>
      <c r="C33" s="17">
        <f>(원데이터!B33+원데이터!C33)/2</f>
        <v/>
      </c>
      <c r="D33" s="12">
        <f>0.6108*EXP(17.27*원데이터!B33/(원데이터!B33+237.3))</f>
        <v/>
      </c>
      <c r="E33" s="12">
        <f>0.6108*EXP(17.27*원데이터!C33/(원데이터!C33+237.3))</f>
        <v/>
      </c>
      <c r="F33" s="12">
        <f>(D33+E33)/2</f>
        <v/>
      </c>
      <c r="G33" s="12">
        <f>IF(원데이터!H33&lt;&gt;"",원데이터!H33/10,IF(원데이터!I33&lt;&gt;"",0.6108*EXP(17.27*원데이터!I33/(원데이터!I33+237.3)),원데이터!E33/100*F33))</f>
        <v/>
      </c>
      <c r="H33" s="21">
        <f>4098*(0.6108*EXP(17.27*C33/(C33+237.3)))/(C33+237.3)^2</f>
        <v/>
      </c>
      <c r="I33" s="17">
        <f>IF(원데이터!J33&lt;&gt;"",원데이터!J33/10,101.3*((293-0.0065*설정!$B$3)/293)^5.26)</f>
        <v/>
      </c>
      <c r="J33" s="21">
        <f>0.000665*I33</f>
        <v/>
      </c>
      <c r="K33" s="18">
        <f>원데이터!G33*4.87/LN(67.8*설정!$B$4-5.42)</f>
        <v/>
      </c>
      <c r="L33" s="12">
        <f>1+0.033*COS(2*PI()*B33/365)</f>
        <v/>
      </c>
      <c r="M33" s="21">
        <f>0.409*SIN(2*PI()*B33/365-1.39)</f>
        <v/>
      </c>
      <c r="N33" s="21">
        <f>ACOS(-TAN(RADIANS(설정!$B$2))*TAN(M33))</f>
        <v/>
      </c>
      <c r="O33" s="18">
        <f>(24*60/PI())*0.082*L33*(N33*SIN(RADIANS(설정!$B$2))*SIN(M33)+COS(RADIANS(설정!$B$2))*COS(M33)*SIN(N33))</f>
        <v/>
      </c>
      <c r="P33" s="18">
        <f>(0.75+0.00002*설정!$B$3)*O33</f>
        <v/>
      </c>
      <c r="Q33" s="18">
        <f>IF(원데이터!K33&lt;&gt;"",원데이터!K33,(0.25+0.5*원데이터!L33/(24/PI()*N33))*O33)</f>
        <v/>
      </c>
      <c r="R33" s="18">
        <f>0.77*Q33</f>
        <v/>
      </c>
      <c r="S33" s="18">
        <f>0.000000004903*(((원데이터!B33+273.16)^4+(원데이터!C33+273.16)^4)/2)*(0.34-0.14*SQRT(G33))*(1.35*MIN(Q33/P33,1)-0.35)</f>
        <v/>
      </c>
      <c r="T33" s="18">
        <f>R33-S33</f>
        <v/>
      </c>
      <c r="U33" s="18">
        <f>(0.408*H33*T33+J33*(900/(C33+273))*K33*(F33-G33))/(H33+J33*(1+0.34*K33))</f>
        <v/>
      </c>
      <c r="V33" s="11">
        <f>IF(원데이터!A33-설정!$B$16&lt;0,"발아전",IF(원데이터!A33-설정!$B$16&lt;설정!$B$17,"초기",IF(원데이터!A33-설정!$B$16&lt;설정!$B$17+설정!$B$18,"발육",IF(원데이터!A33-설정!$B$16&lt;설정!$B$17+설정!$B$18+설정!$B$19,"중기",IF(원데이터!A33-설정!$B$16&lt;설정!$B$17+설정!$B$18+설정!$B$19+설정!$B$20,"후기","후기이후")))))</f>
        <v/>
      </c>
      <c r="W33" s="12">
        <f>IF(원데이터!A33-설정!$B$16&lt;0,0,IF(원데이터!A33-설정!$B$16&lt;설정!$B$17,설정!$B$33,IF(원데이터!A33-설정!$B$16&lt;설정!$B$17+설정!$B$18,설정!$B$33+(설정!$B$34-설정!$B$33)*(원데이터!A33-설정!$B$16-설정!$B$17+1)/설정!$B$18,IF(원데이터!A33-설정!$B$16&lt;설정!$B$17+설정!$B$18+설정!$B$19,설정!$B$34,IF(원데이터!A33-설정!$B$16&lt;설정!$B$17+설정!$B$18+설정!$B$19+설정!$B$20,설정!$B$34+(설정!$B$35-설정!$B$34)*(원데이터!A33-설정!$B$16-설정!$B$17-설정!$B$18-설정!$B$19+1)/설정!$B$20,0)))))</f>
        <v/>
      </c>
      <c r="X33" s="12">
        <f>0.108-0.0286*K33+0.0422*LN(설정!$B$5)+0.1434*LN(원데이터!E33)-0.000631*LN(설정!$B$5)^2*LN(원데이터!E33)</f>
        <v/>
      </c>
      <c r="Y33" s="17">
        <f>원데이터!M33</f>
        <v/>
      </c>
      <c r="Z33" s="18">
        <f>X33*Y33</f>
        <v/>
      </c>
      <c r="AA33" s="18">
        <f>U33*W33</f>
        <v/>
      </c>
      <c r="AB33" s="18">
        <f>Z33*W33</f>
        <v/>
      </c>
    </row>
    <row r="34">
      <c r="A34" s="15">
        <f>원데이터!A34</f>
        <v/>
      </c>
      <c r="B34" s="14">
        <f>원데이터!A34-DATE(YEAR(원데이터!A34),1,1)+1</f>
        <v/>
      </c>
      <c r="C34" s="17">
        <f>(원데이터!B34+원데이터!C34)/2</f>
        <v/>
      </c>
      <c r="D34" s="12">
        <f>0.6108*EXP(17.27*원데이터!B34/(원데이터!B34+237.3))</f>
        <v/>
      </c>
      <c r="E34" s="12">
        <f>0.6108*EXP(17.27*원데이터!C34/(원데이터!C34+237.3))</f>
        <v/>
      </c>
      <c r="F34" s="12">
        <f>(D34+E34)/2</f>
        <v/>
      </c>
      <c r="G34" s="12">
        <f>IF(원데이터!H34&lt;&gt;"",원데이터!H34/10,IF(원데이터!I34&lt;&gt;"",0.6108*EXP(17.27*원데이터!I34/(원데이터!I34+237.3)),원데이터!E34/100*F34))</f>
        <v/>
      </c>
      <c r="H34" s="21">
        <f>4098*(0.6108*EXP(17.27*C34/(C34+237.3)))/(C34+237.3)^2</f>
        <v/>
      </c>
      <c r="I34" s="17">
        <f>IF(원데이터!J34&lt;&gt;"",원데이터!J34/10,101.3*((293-0.0065*설정!$B$3)/293)^5.26)</f>
        <v/>
      </c>
      <c r="J34" s="21">
        <f>0.000665*I34</f>
        <v/>
      </c>
      <c r="K34" s="18">
        <f>원데이터!G34*4.87/LN(67.8*설정!$B$4-5.42)</f>
        <v/>
      </c>
      <c r="L34" s="12">
        <f>1+0.033*COS(2*PI()*B34/365)</f>
        <v/>
      </c>
      <c r="M34" s="21">
        <f>0.409*SIN(2*PI()*B34/365-1.39)</f>
        <v/>
      </c>
      <c r="N34" s="21">
        <f>ACOS(-TAN(RADIANS(설정!$B$2))*TAN(M34))</f>
        <v/>
      </c>
      <c r="O34" s="18">
        <f>(24*60/PI())*0.082*L34*(N34*SIN(RADIANS(설정!$B$2))*SIN(M34)+COS(RADIANS(설정!$B$2))*COS(M34)*SIN(N34))</f>
        <v/>
      </c>
      <c r="P34" s="18">
        <f>(0.75+0.00002*설정!$B$3)*O34</f>
        <v/>
      </c>
      <c r="Q34" s="18">
        <f>IF(원데이터!K34&lt;&gt;"",원데이터!K34,(0.25+0.5*원데이터!L34/(24/PI()*N34))*O34)</f>
        <v/>
      </c>
      <c r="R34" s="18">
        <f>0.77*Q34</f>
        <v/>
      </c>
      <c r="S34" s="18">
        <f>0.000000004903*(((원데이터!B34+273.16)^4+(원데이터!C34+273.16)^4)/2)*(0.34-0.14*SQRT(G34))*(1.35*MIN(Q34/P34,1)-0.35)</f>
        <v/>
      </c>
      <c r="T34" s="18">
        <f>R34-S34</f>
        <v/>
      </c>
      <c r="U34" s="18">
        <f>(0.408*H34*T34+J34*(900/(C34+273))*K34*(F34-G34))/(H34+J34*(1+0.34*K34))</f>
        <v/>
      </c>
      <c r="V34" s="11">
        <f>IF(원데이터!A34-설정!$B$16&lt;0,"발아전",IF(원데이터!A34-설정!$B$16&lt;설정!$B$17,"초기",IF(원데이터!A34-설정!$B$16&lt;설정!$B$17+설정!$B$18,"발육",IF(원데이터!A34-설정!$B$16&lt;설정!$B$17+설정!$B$18+설정!$B$19,"중기",IF(원데이터!A34-설정!$B$16&lt;설정!$B$17+설정!$B$18+설정!$B$19+설정!$B$20,"후기","후기이후")))))</f>
        <v/>
      </c>
      <c r="W34" s="12">
        <f>IF(원데이터!A34-설정!$B$16&lt;0,0,IF(원데이터!A34-설정!$B$16&lt;설정!$B$17,설정!$B$33,IF(원데이터!A34-설정!$B$16&lt;설정!$B$17+설정!$B$18,설정!$B$33+(설정!$B$34-설정!$B$33)*(원데이터!A34-설정!$B$16-설정!$B$17+1)/설정!$B$18,IF(원데이터!A34-설정!$B$16&lt;설정!$B$17+설정!$B$18+설정!$B$19,설정!$B$34,IF(원데이터!A34-설정!$B$16&lt;설정!$B$17+설정!$B$18+설정!$B$19+설정!$B$20,설정!$B$34+(설정!$B$35-설정!$B$34)*(원데이터!A34-설정!$B$16-설정!$B$17-설정!$B$18-설정!$B$19+1)/설정!$B$20,0)))))</f>
        <v/>
      </c>
      <c r="X34" s="12">
        <f>0.108-0.0286*K34+0.0422*LN(설정!$B$5)+0.1434*LN(원데이터!E34)-0.000631*LN(설정!$B$5)^2*LN(원데이터!E34)</f>
        <v/>
      </c>
      <c r="Y34" s="17">
        <f>원데이터!M34</f>
        <v/>
      </c>
      <c r="Z34" s="18">
        <f>X34*Y34</f>
        <v/>
      </c>
      <c r="AA34" s="18">
        <f>U34*W34</f>
        <v/>
      </c>
      <c r="AB34" s="18">
        <f>Z34*W34</f>
        <v/>
      </c>
    </row>
    <row r="35">
      <c r="A35" s="15">
        <f>원데이터!A35</f>
        <v/>
      </c>
      <c r="B35" s="14">
        <f>원데이터!A35-DATE(YEAR(원데이터!A35),1,1)+1</f>
        <v/>
      </c>
      <c r="C35" s="17">
        <f>(원데이터!B35+원데이터!C35)/2</f>
        <v/>
      </c>
      <c r="D35" s="12">
        <f>0.6108*EXP(17.27*원데이터!B35/(원데이터!B35+237.3))</f>
        <v/>
      </c>
      <c r="E35" s="12">
        <f>0.6108*EXP(17.27*원데이터!C35/(원데이터!C35+237.3))</f>
        <v/>
      </c>
      <c r="F35" s="12">
        <f>(D35+E35)/2</f>
        <v/>
      </c>
      <c r="G35" s="12">
        <f>IF(원데이터!H35&lt;&gt;"",원데이터!H35/10,IF(원데이터!I35&lt;&gt;"",0.6108*EXP(17.27*원데이터!I35/(원데이터!I35+237.3)),원데이터!E35/100*F35))</f>
        <v/>
      </c>
      <c r="H35" s="21">
        <f>4098*(0.6108*EXP(17.27*C35/(C35+237.3)))/(C35+237.3)^2</f>
        <v/>
      </c>
      <c r="I35" s="17">
        <f>IF(원데이터!J35&lt;&gt;"",원데이터!J35/10,101.3*((293-0.0065*설정!$B$3)/293)^5.26)</f>
        <v/>
      </c>
      <c r="J35" s="21">
        <f>0.000665*I35</f>
        <v/>
      </c>
      <c r="K35" s="18">
        <f>원데이터!G35*4.87/LN(67.8*설정!$B$4-5.42)</f>
        <v/>
      </c>
      <c r="L35" s="12">
        <f>1+0.033*COS(2*PI()*B35/365)</f>
        <v/>
      </c>
      <c r="M35" s="21">
        <f>0.409*SIN(2*PI()*B35/365-1.39)</f>
        <v/>
      </c>
      <c r="N35" s="21">
        <f>ACOS(-TAN(RADIANS(설정!$B$2))*TAN(M35))</f>
        <v/>
      </c>
      <c r="O35" s="18">
        <f>(24*60/PI())*0.082*L35*(N35*SIN(RADIANS(설정!$B$2))*SIN(M35)+COS(RADIANS(설정!$B$2))*COS(M35)*SIN(N35))</f>
        <v/>
      </c>
      <c r="P35" s="18">
        <f>(0.75+0.00002*설정!$B$3)*O35</f>
        <v/>
      </c>
      <c r="Q35" s="18">
        <f>IF(원데이터!K35&lt;&gt;"",원데이터!K35,(0.25+0.5*원데이터!L35/(24/PI()*N35))*O35)</f>
        <v/>
      </c>
      <c r="R35" s="18">
        <f>0.77*Q35</f>
        <v/>
      </c>
      <c r="S35" s="18">
        <f>0.000000004903*(((원데이터!B35+273.16)^4+(원데이터!C35+273.16)^4)/2)*(0.34-0.14*SQRT(G35))*(1.35*MIN(Q35/P35,1)-0.35)</f>
        <v/>
      </c>
      <c r="T35" s="18">
        <f>R35-S35</f>
        <v/>
      </c>
      <c r="U35" s="18">
        <f>(0.408*H35*T35+J35*(900/(C35+273))*K35*(F35-G35))/(H35+J35*(1+0.34*K35))</f>
        <v/>
      </c>
      <c r="V35" s="11">
        <f>IF(원데이터!A35-설정!$B$16&lt;0,"발아전",IF(원데이터!A35-설정!$B$16&lt;설정!$B$17,"초기",IF(원데이터!A35-설정!$B$16&lt;설정!$B$17+설정!$B$18,"발육",IF(원데이터!A35-설정!$B$16&lt;설정!$B$17+설정!$B$18+설정!$B$19,"중기",IF(원데이터!A35-설정!$B$16&lt;설정!$B$17+설정!$B$18+설정!$B$19+설정!$B$20,"후기","후기이후")))))</f>
        <v/>
      </c>
      <c r="W35" s="12">
        <f>IF(원데이터!A35-설정!$B$16&lt;0,0,IF(원데이터!A35-설정!$B$16&lt;설정!$B$17,설정!$B$33,IF(원데이터!A35-설정!$B$16&lt;설정!$B$17+설정!$B$18,설정!$B$33+(설정!$B$34-설정!$B$33)*(원데이터!A35-설정!$B$16-설정!$B$17+1)/설정!$B$18,IF(원데이터!A35-설정!$B$16&lt;설정!$B$17+설정!$B$18+설정!$B$19,설정!$B$34,IF(원데이터!A35-설정!$B$16&lt;설정!$B$17+설정!$B$18+설정!$B$19+설정!$B$20,설정!$B$34+(설정!$B$35-설정!$B$34)*(원데이터!A35-설정!$B$16-설정!$B$17-설정!$B$18-설정!$B$19+1)/설정!$B$20,0)))))</f>
        <v/>
      </c>
      <c r="X35" s="12">
        <f>0.108-0.0286*K35+0.0422*LN(설정!$B$5)+0.1434*LN(원데이터!E35)-0.000631*LN(설정!$B$5)^2*LN(원데이터!E35)</f>
        <v/>
      </c>
      <c r="Y35" s="17">
        <f>원데이터!M35</f>
        <v/>
      </c>
      <c r="Z35" s="18">
        <f>X35*Y35</f>
        <v/>
      </c>
      <c r="AA35" s="18">
        <f>U35*W35</f>
        <v/>
      </c>
      <c r="AB35" s="18">
        <f>Z35*W35</f>
        <v/>
      </c>
    </row>
    <row r="36">
      <c r="A36" s="15">
        <f>원데이터!A36</f>
        <v/>
      </c>
      <c r="B36" s="14">
        <f>원데이터!A36-DATE(YEAR(원데이터!A36),1,1)+1</f>
        <v/>
      </c>
      <c r="C36" s="17">
        <f>(원데이터!B36+원데이터!C36)/2</f>
        <v/>
      </c>
      <c r="D36" s="12">
        <f>0.6108*EXP(17.27*원데이터!B36/(원데이터!B36+237.3))</f>
        <v/>
      </c>
      <c r="E36" s="12">
        <f>0.6108*EXP(17.27*원데이터!C36/(원데이터!C36+237.3))</f>
        <v/>
      </c>
      <c r="F36" s="12">
        <f>(D36+E36)/2</f>
        <v/>
      </c>
      <c r="G36" s="12">
        <f>IF(원데이터!H36&lt;&gt;"",원데이터!H36/10,IF(원데이터!I36&lt;&gt;"",0.6108*EXP(17.27*원데이터!I36/(원데이터!I36+237.3)),원데이터!E36/100*F36))</f>
        <v/>
      </c>
      <c r="H36" s="21">
        <f>4098*(0.6108*EXP(17.27*C36/(C36+237.3)))/(C36+237.3)^2</f>
        <v/>
      </c>
      <c r="I36" s="17">
        <f>IF(원데이터!J36&lt;&gt;"",원데이터!J36/10,101.3*((293-0.0065*설정!$B$3)/293)^5.26)</f>
        <v/>
      </c>
      <c r="J36" s="21">
        <f>0.000665*I36</f>
        <v/>
      </c>
      <c r="K36" s="18">
        <f>원데이터!G36*4.87/LN(67.8*설정!$B$4-5.42)</f>
        <v/>
      </c>
      <c r="L36" s="12">
        <f>1+0.033*COS(2*PI()*B36/365)</f>
        <v/>
      </c>
      <c r="M36" s="21">
        <f>0.409*SIN(2*PI()*B36/365-1.39)</f>
        <v/>
      </c>
      <c r="N36" s="21">
        <f>ACOS(-TAN(RADIANS(설정!$B$2))*TAN(M36))</f>
        <v/>
      </c>
      <c r="O36" s="18">
        <f>(24*60/PI())*0.082*L36*(N36*SIN(RADIANS(설정!$B$2))*SIN(M36)+COS(RADIANS(설정!$B$2))*COS(M36)*SIN(N36))</f>
        <v/>
      </c>
      <c r="P36" s="18">
        <f>(0.75+0.00002*설정!$B$3)*O36</f>
        <v/>
      </c>
      <c r="Q36" s="18">
        <f>IF(원데이터!K36&lt;&gt;"",원데이터!K36,(0.25+0.5*원데이터!L36/(24/PI()*N36))*O36)</f>
        <v/>
      </c>
      <c r="R36" s="18">
        <f>0.77*Q36</f>
        <v/>
      </c>
      <c r="S36" s="18">
        <f>0.000000004903*(((원데이터!B36+273.16)^4+(원데이터!C36+273.16)^4)/2)*(0.34-0.14*SQRT(G36))*(1.35*MIN(Q36/P36,1)-0.35)</f>
        <v/>
      </c>
      <c r="T36" s="18">
        <f>R36-S36</f>
        <v/>
      </c>
      <c r="U36" s="18">
        <f>(0.408*H36*T36+J36*(900/(C36+273))*K36*(F36-G36))/(H36+J36*(1+0.34*K36))</f>
        <v/>
      </c>
      <c r="V36" s="11">
        <f>IF(원데이터!A36-설정!$B$16&lt;0,"발아전",IF(원데이터!A36-설정!$B$16&lt;설정!$B$17,"초기",IF(원데이터!A36-설정!$B$16&lt;설정!$B$17+설정!$B$18,"발육",IF(원데이터!A36-설정!$B$16&lt;설정!$B$17+설정!$B$18+설정!$B$19,"중기",IF(원데이터!A36-설정!$B$16&lt;설정!$B$17+설정!$B$18+설정!$B$19+설정!$B$20,"후기","후기이후")))))</f>
        <v/>
      </c>
      <c r="W36" s="12">
        <f>IF(원데이터!A36-설정!$B$16&lt;0,0,IF(원데이터!A36-설정!$B$16&lt;설정!$B$17,설정!$B$33,IF(원데이터!A36-설정!$B$16&lt;설정!$B$17+설정!$B$18,설정!$B$33+(설정!$B$34-설정!$B$33)*(원데이터!A36-설정!$B$16-설정!$B$17+1)/설정!$B$18,IF(원데이터!A36-설정!$B$16&lt;설정!$B$17+설정!$B$18+설정!$B$19,설정!$B$34,IF(원데이터!A36-설정!$B$16&lt;설정!$B$17+설정!$B$18+설정!$B$19+설정!$B$20,설정!$B$34+(설정!$B$35-설정!$B$34)*(원데이터!A36-설정!$B$16-설정!$B$17-설정!$B$18-설정!$B$19+1)/설정!$B$20,0)))))</f>
        <v/>
      </c>
      <c r="X36" s="12">
        <f>0.108-0.0286*K36+0.0422*LN(설정!$B$5)+0.1434*LN(원데이터!E36)-0.000631*LN(설정!$B$5)^2*LN(원데이터!E36)</f>
        <v/>
      </c>
      <c r="Y36" s="17">
        <f>원데이터!M36</f>
        <v/>
      </c>
      <c r="Z36" s="18">
        <f>X36*Y36</f>
        <v/>
      </c>
      <c r="AA36" s="18">
        <f>U36*W36</f>
        <v/>
      </c>
      <c r="AB36" s="18">
        <f>Z36*W36</f>
        <v/>
      </c>
    </row>
    <row r="37">
      <c r="A37" s="15">
        <f>원데이터!A37</f>
        <v/>
      </c>
      <c r="B37" s="14">
        <f>원데이터!A37-DATE(YEAR(원데이터!A37),1,1)+1</f>
        <v/>
      </c>
      <c r="C37" s="17">
        <f>(원데이터!B37+원데이터!C37)/2</f>
        <v/>
      </c>
      <c r="D37" s="12">
        <f>0.6108*EXP(17.27*원데이터!B37/(원데이터!B37+237.3))</f>
        <v/>
      </c>
      <c r="E37" s="12">
        <f>0.6108*EXP(17.27*원데이터!C37/(원데이터!C37+237.3))</f>
        <v/>
      </c>
      <c r="F37" s="12">
        <f>(D37+E37)/2</f>
        <v/>
      </c>
      <c r="G37" s="12">
        <f>IF(원데이터!H37&lt;&gt;"",원데이터!H37/10,IF(원데이터!I37&lt;&gt;"",0.6108*EXP(17.27*원데이터!I37/(원데이터!I37+237.3)),원데이터!E37/100*F37))</f>
        <v/>
      </c>
      <c r="H37" s="21">
        <f>4098*(0.6108*EXP(17.27*C37/(C37+237.3)))/(C37+237.3)^2</f>
        <v/>
      </c>
      <c r="I37" s="17">
        <f>IF(원데이터!J37&lt;&gt;"",원데이터!J37/10,101.3*((293-0.0065*설정!$B$3)/293)^5.26)</f>
        <v/>
      </c>
      <c r="J37" s="21">
        <f>0.000665*I37</f>
        <v/>
      </c>
      <c r="K37" s="18">
        <f>원데이터!G37*4.87/LN(67.8*설정!$B$4-5.42)</f>
        <v/>
      </c>
      <c r="L37" s="12">
        <f>1+0.033*COS(2*PI()*B37/365)</f>
        <v/>
      </c>
      <c r="M37" s="21">
        <f>0.409*SIN(2*PI()*B37/365-1.39)</f>
        <v/>
      </c>
      <c r="N37" s="21">
        <f>ACOS(-TAN(RADIANS(설정!$B$2))*TAN(M37))</f>
        <v/>
      </c>
      <c r="O37" s="18">
        <f>(24*60/PI())*0.082*L37*(N37*SIN(RADIANS(설정!$B$2))*SIN(M37)+COS(RADIANS(설정!$B$2))*COS(M37)*SIN(N37))</f>
        <v/>
      </c>
      <c r="P37" s="18">
        <f>(0.75+0.00002*설정!$B$3)*O37</f>
        <v/>
      </c>
      <c r="Q37" s="18">
        <f>IF(원데이터!K37&lt;&gt;"",원데이터!K37,(0.25+0.5*원데이터!L37/(24/PI()*N37))*O37)</f>
        <v/>
      </c>
      <c r="R37" s="18">
        <f>0.77*Q37</f>
        <v/>
      </c>
      <c r="S37" s="18">
        <f>0.000000004903*(((원데이터!B37+273.16)^4+(원데이터!C37+273.16)^4)/2)*(0.34-0.14*SQRT(G37))*(1.35*MIN(Q37/P37,1)-0.35)</f>
        <v/>
      </c>
      <c r="T37" s="18">
        <f>R37-S37</f>
        <v/>
      </c>
      <c r="U37" s="18">
        <f>(0.408*H37*T37+J37*(900/(C37+273))*K37*(F37-G37))/(H37+J37*(1+0.34*K37))</f>
        <v/>
      </c>
      <c r="V37" s="11">
        <f>IF(원데이터!A37-설정!$B$16&lt;0,"발아전",IF(원데이터!A37-설정!$B$16&lt;설정!$B$17,"초기",IF(원데이터!A37-설정!$B$16&lt;설정!$B$17+설정!$B$18,"발육",IF(원데이터!A37-설정!$B$16&lt;설정!$B$17+설정!$B$18+설정!$B$19,"중기",IF(원데이터!A37-설정!$B$16&lt;설정!$B$17+설정!$B$18+설정!$B$19+설정!$B$20,"후기","후기이후")))))</f>
        <v/>
      </c>
      <c r="W37" s="12">
        <f>IF(원데이터!A37-설정!$B$16&lt;0,0,IF(원데이터!A37-설정!$B$16&lt;설정!$B$17,설정!$B$33,IF(원데이터!A37-설정!$B$16&lt;설정!$B$17+설정!$B$18,설정!$B$33+(설정!$B$34-설정!$B$33)*(원데이터!A37-설정!$B$16-설정!$B$17+1)/설정!$B$18,IF(원데이터!A37-설정!$B$16&lt;설정!$B$17+설정!$B$18+설정!$B$19,설정!$B$34,IF(원데이터!A37-설정!$B$16&lt;설정!$B$17+설정!$B$18+설정!$B$19+설정!$B$20,설정!$B$34+(설정!$B$35-설정!$B$34)*(원데이터!A37-설정!$B$16-설정!$B$17-설정!$B$18-설정!$B$19+1)/설정!$B$20,0)))))</f>
        <v/>
      </c>
      <c r="X37" s="12">
        <f>0.108-0.0286*K37+0.0422*LN(설정!$B$5)+0.1434*LN(원데이터!E37)-0.000631*LN(설정!$B$5)^2*LN(원데이터!E37)</f>
        <v/>
      </c>
      <c r="Y37" s="17">
        <f>원데이터!M37</f>
        <v/>
      </c>
      <c r="Z37" s="18">
        <f>X37*Y37</f>
        <v/>
      </c>
      <c r="AA37" s="18">
        <f>U37*W37</f>
        <v/>
      </c>
      <c r="AB37" s="18">
        <f>Z37*W37</f>
        <v/>
      </c>
    </row>
    <row r="38">
      <c r="A38" s="15">
        <f>원데이터!A38</f>
        <v/>
      </c>
      <c r="B38" s="14">
        <f>원데이터!A38-DATE(YEAR(원데이터!A38),1,1)+1</f>
        <v/>
      </c>
      <c r="C38" s="17">
        <f>(원데이터!B38+원데이터!C38)/2</f>
        <v/>
      </c>
      <c r="D38" s="12">
        <f>0.6108*EXP(17.27*원데이터!B38/(원데이터!B38+237.3))</f>
        <v/>
      </c>
      <c r="E38" s="12">
        <f>0.6108*EXP(17.27*원데이터!C38/(원데이터!C38+237.3))</f>
        <v/>
      </c>
      <c r="F38" s="12">
        <f>(D38+E38)/2</f>
        <v/>
      </c>
      <c r="G38" s="12">
        <f>IF(원데이터!H38&lt;&gt;"",원데이터!H38/10,IF(원데이터!I38&lt;&gt;"",0.6108*EXP(17.27*원데이터!I38/(원데이터!I38+237.3)),원데이터!E38/100*F38))</f>
        <v/>
      </c>
      <c r="H38" s="21">
        <f>4098*(0.6108*EXP(17.27*C38/(C38+237.3)))/(C38+237.3)^2</f>
        <v/>
      </c>
      <c r="I38" s="17">
        <f>IF(원데이터!J38&lt;&gt;"",원데이터!J38/10,101.3*((293-0.0065*설정!$B$3)/293)^5.26)</f>
        <v/>
      </c>
      <c r="J38" s="21">
        <f>0.000665*I38</f>
        <v/>
      </c>
      <c r="K38" s="18">
        <f>원데이터!G38*4.87/LN(67.8*설정!$B$4-5.42)</f>
        <v/>
      </c>
      <c r="L38" s="12">
        <f>1+0.033*COS(2*PI()*B38/365)</f>
        <v/>
      </c>
      <c r="M38" s="21">
        <f>0.409*SIN(2*PI()*B38/365-1.39)</f>
        <v/>
      </c>
      <c r="N38" s="21">
        <f>ACOS(-TAN(RADIANS(설정!$B$2))*TAN(M38))</f>
        <v/>
      </c>
      <c r="O38" s="18">
        <f>(24*60/PI())*0.082*L38*(N38*SIN(RADIANS(설정!$B$2))*SIN(M38)+COS(RADIANS(설정!$B$2))*COS(M38)*SIN(N38))</f>
        <v/>
      </c>
      <c r="P38" s="18">
        <f>(0.75+0.00002*설정!$B$3)*O38</f>
        <v/>
      </c>
      <c r="Q38" s="18">
        <f>IF(원데이터!K38&lt;&gt;"",원데이터!K38,(0.25+0.5*원데이터!L38/(24/PI()*N38))*O38)</f>
        <v/>
      </c>
      <c r="R38" s="18">
        <f>0.77*Q38</f>
        <v/>
      </c>
      <c r="S38" s="18">
        <f>0.000000004903*(((원데이터!B38+273.16)^4+(원데이터!C38+273.16)^4)/2)*(0.34-0.14*SQRT(G38))*(1.35*MIN(Q38/P38,1)-0.35)</f>
        <v/>
      </c>
      <c r="T38" s="18">
        <f>R38-S38</f>
        <v/>
      </c>
      <c r="U38" s="18">
        <f>(0.408*H38*T38+J38*(900/(C38+273))*K38*(F38-G38))/(H38+J38*(1+0.34*K38))</f>
        <v/>
      </c>
      <c r="V38" s="11">
        <f>IF(원데이터!A38-설정!$B$16&lt;0,"발아전",IF(원데이터!A38-설정!$B$16&lt;설정!$B$17,"초기",IF(원데이터!A38-설정!$B$16&lt;설정!$B$17+설정!$B$18,"발육",IF(원데이터!A38-설정!$B$16&lt;설정!$B$17+설정!$B$18+설정!$B$19,"중기",IF(원데이터!A38-설정!$B$16&lt;설정!$B$17+설정!$B$18+설정!$B$19+설정!$B$20,"후기","후기이후")))))</f>
        <v/>
      </c>
      <c r="W38" s="12">
        <f>IF(원데이터!A38-설정!$B$16&lt;0,0,IF(원데이터!A38-설정!$B$16&lt;설정!$B$17,설정!$B$33,IF(원데이터!A38-설정!$B$16&lt;설정!$B$17+설정!$B$18,설정!$B$33+(설정!$B$34-설정!$B$33)*(원데이터!A38-설정!$B$16-설정!$B$17+1)/설정!$B$18,IF(원데이터!A38-설정!$B$16&lt;설정!$B$17+설정!$B$18+설정!$B$19,설정!$B$34,IF(원데이터!A38-설정!$B$16&lt;설정!$B$17+설정!$B$18+설정!$B$19+설정!$B$20,설정!$B$34+(설정!$B$35-설정!$B$34)*(원데이터!A38-설정!$B$16-설정!$B$17-설정!$B$18-설정!$B$19+1)/설정!$B$20,0)))))</f>
        <v/>
      </c>
      <c r="X38" s="12">
        <f>0.108-0.0286*K38+0.0422*LN(설정!$B$5)+0.1434*LN(원데이터!E38)-0.000631*LN(설정!$B$5)^2*LN(원데이터!E38)</f>
        <v/>
      </c>
      <c r="Y38" s="17">
        <f>원데이터!M38</f>
        <v/>
      </c>
      <c r="Z38" s="18">
        <f>X38*Y38</f>
        <v/>
      </c>
      <c r="AA38" s="18">
        <f>U38*W38</f>
        <v/>
      </c>
      <c r="AB38" s="18">
        <f>Z38*W38</f>
        <v/>
      </c>
    </row>
    <row r="39">
      <c r="A39" s="15">
        <f>원데이터!A39</f>
        <v/>
      </c>
      <c r="B39" s="14">
        <f>원데이터!A39-DATE(YEAR(원데이터!A39),1,1)+1</f>
        <v/>
      </c>
      <c r="C39" s="17">
        <f>(원데이터!B39+원데이터!C39)/2</f>
        <v/>
      </c>
      <c r="D39" s="12">
        <f>0.6108*EXP(17.27*원데이터!B39/(원데이터!B39+237.3))</f>
        <v/>
      </c>
      <c r="E39" s="12">
        <f>0.6108*EXP(17.27*원데이터!C39/(원데이터!C39+237.3))</f>
        <v/>
      </c>
      <c r="F39" s="12">
        <f>(D39+E39)/2</f>
        <v/>
      </c>
      <c r="G39" s="12">
        <f>IF(원데이터!H39&lt;&gt;"",원데이터!H39/10,IF(원데이터!I39&lt;&gt;"",0.6108*EXP(17.27*원데이터!I39/(원데이터!I39+237.3)),원데이터!E39/100*F39))</f>
        <v/>
      </c>
      <c r="H39" s="21">
        <f>4098*(0.6108*EXP(17.27*C39/(C39+237.3)))/(C39+237.3)^2</f>
        <v/>
      </c>
      <c r="I39" s="17">
        <f>IF(원데이터!J39&lt;&gt;"",원데이터!J39/10,101.3*((293-0.0065*설정!$B$3)/293)^5.26)</f>
        <v/>
      </c>
      <c r="J39" s="21">
        <f>0.000665*I39</f>
        <v/>
      </c>
      <c r="K39" s="18">
        <f>원데이터!G39*4.87/LN(67.8*설정!$B$4-5.42)</f>
        <v/>
      </c>
      <c r="L39" s="12">
        <f>1+0.033*COS(2*PI()*B39/365)</f>
        <v/>
      </c>
      <c r="M39" s="21">
        <f>0.409*SIN(2*PI()*B39/365-1.39)</f>
        <v/>
      </c>
      <c r="N39" s="21">
        <f>ACOS(-TAN(RADIANS(설정!$B$2))*TAN(M39))</f>
        <v/>
      </c>
      <c r="O39" s="18">
        <f>(24*60/PI())*0.082*L39*(N39*SIN(RADIANS(설정!$B$2))*SIN(M39)+COS(RADIANS(설정!$B$2))*COS(M39)*SIN(N39))</f>
        <v/>
      </c>
      <c r="P39" s="18">
        <f>(0.75+0.00002*설정!$B$3)*O39</f>
        <v/>
      </c>
      <c r="Q39" s="18">
        <f>IF(원데이터!K39&lt;&gt;"",원데이터!K39,(0.25+0.5*원데이터!L39/(24/PI()*N39))*O39)</f>
        <v/>
      </c>
      <c r="R39" s="18">
        <f>0.77*Q39</f>
        <v/>
      </c>
      <c r="S39" s="18">
        <f>0.000000004903*(((원데이터!B39+273.16)^4+(원데이터!C39+273.16)^4)/2)*(0.34-0.14*SQRT(G39))*(1.35*MIN(Q39/P39,1)-0.35)</f>
        <v/>
      </c>
      <c r="T39" s="18">
        <f>R39-S39</f>
        <v/>
      </c>
      <c r="U39" s="18">
        <f>(0.408*H39*T39+J39*(900/(C39+273))*K39*(F39-G39))/(H39+J39*(1+0.34*K39))</f>
        <v/>
      </c>
      <c r="V39" s="11">
        <f>IF(원데이터!A39-설정!$B$16&lt;0,"발아전",IF(원데이터!A39-설정!$B$16&lt;설정!$B$17,"초기",IF(원데이터!A39-설정!$B$16&lt;설정!$B$17+설정!$B$18,"발육",IF(원데이터!A39-설정!$B$16&lt;설정!$B$17+설정!$B$18+설정!$B$19,"중기",IF(원데이터!A39-설정!$B$16&lt;설정!$B$17+설정!$B$18+설정!$B$19+설정!$B$20,"후기","후기이후")))))</f>
        <v/>
      </c>
      <c r="W39" s="12">
        <f>IF(원데이터!A39-설정!$B$16&lt;0,0,IF(원데이터!A39-설정!$B$16&lt;설정!$B$17,설정!$B$33,IF(원데이터!A39-설정!$B$16&lt;설정!$B$17+설정!$B$18,설정!$B$33+(설정!$B$34-설정!$B$33)*(원데이터!A39-설정!$B$16-설정!$B$17+1)/설정!$B$18,IF(원데이터!A39-설정!$B$16&lt;설정!$B$17+설정!$B$18+설정!$B$19,설정!$B$34,IF(원데이터!A39-설정!$B$16&lt;설정!$B$17+설정!$B$18+설정!$B$19+설정!$B$20,설정!$B$34+(설정!$B$35-설정!$B$34)*(원데이터!A39-설정!$B$16-설정!$B$17-설정!$B$18-설정!$B$19+1)/설정!$B$20,0)))))</f>
        <v/>
      </c>
      <c r="X39" s="12">
        <f>0.108-0.0286*K39+0.0422*LN(설정!$B$5)+0.1434*LN(원데이터!E39)-0.000631*LN(설정!$B$5)^2*LN(원데이터!E39)</f>
        <v/>
      </c>
      <c r="Y39" s="17">
        <f>원데이터!M39</f>
        <v/>
      </c>
      <c r="Z39" s="18">
        <f>X39*Y39</f>
        <v/>
      </c>
      <c r="AA39" s="18">
        <f>U39*W39</f>
        <v/>
      </c>
      <c r="AB39" s="18">
        <f>Z39*W39</f>
        <v/>
      </c>
    </row>
    <row r="40">
      <c r="A40" s="15">
        <f>원데이터!A40</f>
        <v/>
      </c>
      <c r="B40" s="14">
        <f>원데이터!A40-DATE(YEAR(원데이터!A40),1,1)+1</f>
        <v/>
      </c>
      <c r="C40" s="17">
        <f>(원데이터!B40+원데이터!C40)/2</f>
        <v/>
      </c>
      <c r="D40" s="12">
        <f>0.6108*EXP(17.27*원데이터!B40/(원데이터!B40+237.3))</f>
        <v/>
      </c>
      <c r="E40" s="12">
        <f>0.6108*EXP(17.27*원데이터!C40/(원데이터!C40+237.3))</f>
        <v/>
      </c>
      <c r="F40" s="12">
        <f>(D40+E40)/2</f>
        <v/>
      </c>
      <c r="G40" s="12">
        <f>IF(원데이터!H40&lt;&gt;"",원데이터!H40/10,IF(원데이터!I40&lt;&gt;"",0.6108*EXP(17.27*원데이터!I40/(원데이터!I40+237.3)),원데이터!E40/100*F40))</f>
        <v/>
      </c>
      <c r="H40" s="21">
        <f>4098*(0.6108*EXP(17.27*C40/(C40+237.3)))/(C40+237.3)^2</f>
        <v/>
      </c>
      <c r="I40" s="17">
        <f>IF(원데이터!J40&lt;&gt;"",원데이터!J40/10,101.3*((293-0.0065*설정!$B$3)/293)^5.26)</f>
        <v/>
      </c>
      <c r="J40" s="21">
        <f>0.000665*I40</f>
        <v/>
      </c>
      <c r="K40" s="18">
        <f>원데이터!G40*4.87/LN(67.8*설정!$B$4-5.42)</f>
        <v/>
      </c>
      <c r="L40" s="12">
        <f>1+0.033*COS(2*PI()*B40/365)</f>
        <v/>
      </c>
      <c r="M40" s="21">
        <f>0.409*SIN(2*PI()*B40/365-1.39)</f>
        <v/>
      </c>
      <c r="N40" s="21">
        <f>ACOS(-TAN(RADIANS(설정!$B$2))*TAN(M40))</f>
        <v/>
      </c>
      <c r="O40" s="18">
        <f>(24*60/PI())*0.082*L40*(N40*SIN(RADIANS(설정!$B$2))*SIN(M40)+COS(RADIANS(설정!$B$2))*COS(M40)*SIN(N40))</f>
        <v/>
      </c>
      <c r="P40" s="18">
        <f>(0.75+0.00002*설정!$B$3)*O40</f>
        <v/>
      </c>
      <c r="Q40" s="18">
        <f>IF(원데이터!K40&lt;&gt;"",원데이터!K40,(0.25+0.5*원데이터!L40/(24/PI()*N40))*O40)</f>
        <v/>
      </c>
      <c r="R40" s="18">
        <f>0.77*Q40</f>
        <v/>
      </c>
      <c r="S40" s="18">
        <f>0.000000004903*(((원데이터!B40+273.16)^4+(원데이터!C40+273.16)^4)/2)*(0.34-0.14*SQRT(G40))*(1.35*MIN(Q40/P40,1)-0.35)</f>
        <v/>
      </c>
      <c r="T40" s="18">
        <f>R40-S40</f>
        <v/>
      </c>
      <c r="U40" s="18">
        <f>(0.408*H40*T40+J40*(900/(C40+273))*K40*(F40-G40))/(H40+J40*(1+0.34*K40))</f>
        <v/>
      </c>
      <c r="V40" s="11">
        <f>IF(원데이터!A40-설정!$B$16&lt;0,"발아전",IF(원데이터!A40-설정!$B$16&lt;설정!$B$17,"초기",IF(원데이터!A40-설정!$B$16&lt;설정!$B$17+설정!$B$18,"발육",IF(원데이터!A40-설정!$B$16&lt;설정!$B$17+설정!$B$18+설정!$B$19,"중기",IF(원데이터!A40-설정!$B$16&lt;설정!$B$17+설정!$B$18+설정!$B$19+설정!$B$20,"후기","후기이후")))))</f>
        <v/>
      </c>
      <c r="W40" s="12">
        <f>IF(원데이터!A40-설정!$B$16&lt;0,0,IF(원데이터!A40-설정!$B$16&lt;설정!$B$17,설정!$B$33,IF(원데이터!A40-설정!$B$16&lt;설정!$B$17+설정!$B$18,설정!$B$33+(설정!$B$34-설정!$B$33)*(원데이터!A40-설정!$B$16-설정!$B$17+1)/설정!$B$18,IF(원데이터!A40-설정!$B$16&lt;설정!$B$17+설정!$B$18+설정!$B$19,설정!$B$34,IF(원데이터!A40-설정!$B$16&lt;설정!$B$17+설정!$B$18+설정!$B$19+설정!$B$20,설정!$B$34+(설정!$B$35-설정!$B$34)*(원데이터!A40-설정!$B$16-설정!$B$17-설정!$B$18-설정!$B$19+1)/설정!$B$20,0)))))</f>
        <v/>
      </c>
      <c r="X40" s="12">
        <f>0.108-0.0286*K40+0.0422*LN(설정!$B$5)+0.1434*LN(원데이터!E40)-0.000631*LN(설정!$B$5)^2*LN(원데이터!E40)</f>
        <v/>
      </c>
      <c r="Y40" s="17">
        <f>원데이터!M40</f>
        <v/>
      </c>
      <c r="Z40" s="18">
        <f>X40*Y40</f>
        <v/>
      </c>
      <c r="AA40" s="18">
        <f>U40*W40</f>
        <v/>
      </c>
      <c r="AB40" s="18">
        <f>Z40*W40</f>
        <v/>
      </c>
    </row>
    <row r="41">
      <c r="A41" s="15">
        <f>원데이터!A41</f>
        <v/>
      </c>
      <c r="B41" s="14">
        <f>원데이터!A41-DATE(YEAR(원데이터!A41),1,1)+1</f>
        <v/>
      </c>
      <c r="C41" s="17">
        <f>(원데이터!B41+원데이터!C41)/2</f>
        <v/>
      </c>
      <c r="D41" s="12">
        <f>0.6108*EXP(17.27*원데이터!B41/(원데이터!B41+237.3))</f>
        <v/>
      </c>
      <c r="E41" s="12">
        <f>0.6108*EXP(17.27*원데이터!C41/(원데이터!C41+237.3))</f>
        <v/>
      </c>
      <c r="F41" s="12">
        <f>(D41+E41)/2</f>
        <v/>
      </c>
      <c r="G41" s="12">
        <f>IF(원데이터!H41&lt;&gt;"",원데이터!H41/10,IF(원데이터!I41&lt;&gt;"",0.6108*EXP(17.27*원데이터!I41/(원데이터!I41+237.3)),원데이터!E41/100*F41))</f>
        <v/>
      </c>
      <c r="H41" s="21">
        <f>4098*(0.6108*EXP(17.27*C41/(C41+237.3)))/(C41+237.3)^2</f>
        <v/>
      </c>
      <c r="I41" s="17">
        <f>IF(원데이터!J41&lt;&gt;"",원데이터!J41/10,101.3*((293-0.0065*설정!$B$3)/293)^5.26)</f>
        <v/>
      </c>
      <c r="J41" s="21">
        <f>0.000665*I41</f>
        <v/>
      </c>
      <c r="K41" s="18">
        <f>원데이터!G41*4.87/LN(67.8*설정!$B$4-5.42)</f>
        <v/>
      </c>
      <c r="L41" s="12">
        <f>1+0.033*COS(2*PI()*B41/365)</f>
        <v/>
      </c>
      <c r="M41" s="21">
        <f>0.409*SIN(2*PI()*B41/365-1.39)</f>
        <v/>
      </c>
      <c r="N41" s="21">
        <f>ACOS(-TAN(RADIANS(설정!$B$2))*TAN(M41))</f>
        <v/>
      </c>
      <c r="O41" s="18">
        <f>(24*60/PI())*0.082*L41*(N41*SIN(RADIANS(설정!$B$2))*SIN(M41)+COS(RADIANS(설정!$B$2))*COS(M41)*SIN(N41))</f>
        <v/>
      </c>
      <c r="P41" s="18">
        <f>(0.75+0.00002*설정!$B$3)*O41</f>
        <v/>
      </c>
      <c r="Q41" s="18">
        <f>IF(원데이터!K41&lt;&gt;"",원데이터!K41,(0.25+0.5*원데이터!L41/(24/PI()*N41))*O41)</f>
        <v/>
      </c>
      <c r="R41" s="18">
        <f>0.77*Q41</f>
        <v/>
      </c>
      <c r="S41" s="18">
        <f>0.000000004903*(((원데이터!B41+273.16)^4+(원데이터!C41+273.16)^4)/2)*(0.34-0.14*SQRT(G41))*(1.35*MIN(Q41/P41,1)-0.35)</f>
        <v/>
      </c>
      <c r="T41" s="18">
        <f>R41-S41</f>
        <v/>
      </c>
      <c r="U41" s="18">
        <f>(0.408*H41*T41+J41*(900/(C41+273))*K41*(F41-G41))/(H41+J41*(1+0.34*K41))</f>
        <v/>
      </c>
      <c r="V41" s="11">
        <f>IF(원데이터!A41-설정!$B$16&lt;0,"발아전",IF(원데이터!A41-설정!$B$16&lt;설정!$B$17,"초기",IF(원데이터!A41-설정!$B$16&lt;설정!$B$17+설정!$B$18,"발육",IF(원데이터!A41-설정!$B$16&lt;설정!$B$17+설정!$B$18+설정!$B$19,"중기",IF(원데이터!A41-설정!$B$16&lt;설정!$B$17+설정!$B$18+설정!$B$19+설정!$B$20,"후기","후기이후")))))</f>
        <v/>
      </c>
      <c r="W41" s="12">
        <f>IF(원데이터!A41-설정!$B$16&lt;0,0,IF(원데이터!A41-설정!$B$16&lt;설정!$B$17,설정!$B$33,IF(원데이터!A41-설정!$B$16&lt;설정!$B$17+설정!$B$18,설정!$B$33+(설정!$B$34-설정!$B$33)*(원데이터!A41-설정!$B$16-설정!$B$17+1)/설정!$B$18,IF(원데이터!A41-설정!$B$16&lt;설정!$B$17+설정!$B$18+설정!$B$19,설정!$B$34,IF(원데이터!A41-설정!$B$16&lt;설정!$B$17+설정!$B$18+설정!$B$19+설정!$B$20,설정!$B$34+(설정!$B$35-설정!$B$34)*(원데이터!A41-설정!$B$16-설정!$B$17-설정!$B$18-설정!$B$19+1)/설정!$B$20,0)))))</f>
        <v/>
      </c>
      <c r="X41" s="12">
        <f>0.108-0.0286*K41+0.0422*LN(설정!$B$5)+0.1434*LN(원데이터!E41)-0.000631*LN(설정!$B$5)^2*LN(원데이터!E41)</f>
        <v/>
      </c>
      <c r="Y41" s="17">
        <f>원데이터!M41</f>
        <v/>
      </c>
      <c r="Z41" s="18">
        <f>X41*Y41</f>
        <v/>
      </c>
      <c r="AA41" s="18">
        <f>U41*W41</f>
        <v/>
      </c>
      <c r="AB41" s="18">
        <f>Z41*W41</f>
        <v/>
      </c>
    </row>
    <row r="42">
      <c r="A42" s="15">
        <f>원데이터!A42</f>
        <v/>
      </c>
      <c r="B42" s="14">
        <f>원데이터!A42-DATE(YEAR(원데이터!A42),1,1)+1</f>
        <v/>
      </c>
      <c r="C42" s="17">
        <f>(원데이터!B42+원데이터!C42)/2</f>
        <v/>
      </c>
      <c r="D42" s="12">
        <f>0.6108*EXP(17.27*원데이터!B42/(원데이터!B42+237.3))</f>
        <v/>
      </c>
      <c r="E42" s="12">
        <f>0.6108*EXP(17.27*원데이터!C42/(원데이터!C42+237.3))</f>
        <v/>
      </c>
      <c r="F42" s="12">
        <f>(D42+E42)/2</f>
        <v/>
      </c>
      <c r="G42" s="12">
        <f>IF(원데이터!H42&lt;&gt;"",원데이터!H42/10,IF(원데이터!I42&lt;&gt;"",0.6108*EXP(17.27*원데이터!I42/(원데이터!I42+237.3)),원데이터!E42/100*F42))</f>
        <v/>
      </c>
      <c r="H42" s="21">
        <f>4098*(0.6108*EXP(17.27*C42/(C42+237.3)))/(C42+237.3)^2</f>
        <v/>
      </c>
      <c r="I42" s="17">
        <f>IF(원데이터!J42&lt;&gt;"",원데이터!J42/10,101.3*((293-0.0065*설정!$B$3)/293)^5.26)</f>
        <v/>
      </c>
      <c r="J42" s="21">
        <f>0.000665*I42</f>
        <v/>
      </c>
      <c r="K42" s="18">
        <f>원데이터!G42*4.87/LN(67.8*설정!$B$4-5.42)</f>
        <v/>
      </c>
      <c r="L42" s="12">
        <f>1+0.033*COS(2*PI()*B42/365)</f>
        <v/>
      </c>
      <c r="M42" s="21">
        <f>0.409*SIN(2*PI()*B42/365-1.39)</f>
        <v/>
      </c>
      <c r="N42" s="21">
        <f>ACOS(-TAN(RADIANS(설정!$B$2))*TAN(M42))</f>
        <v/>
      </c>
      <c r="O42" s="18">
        <f>(24*60/PI())*0.082*L42*(N42*SIN(RADIANS(설정!$B$2))*SIN(M42)+COS(RADIANS(설정!$B$2))*COS(M42)*SIN(N42))</f>
        <v/>
      </c>
      <c r="P42" s="18">
        <f>(0.75+0.00002*설정!$B$3)*O42</f>
        <v/>
      </c>
      <c r="Q42" s="18">
        <f>IF(원데이터!K42&lt;&gt;"",원데이터!K42,(0.25+0.5*원데이터!L42/(24/PI()*N42))*O42)</f>
        <v/>
      </c>
      <c r="R42" s="18">
        <f>0.77*Q42</f>
        <v/>
      </c>
      <c r="S42" s="18">
        <f>0.000000004903*(((원데이터!B42+273.16)^4+(원데이터!C42+273.16)^4)/2)*(0.34-0.14*SQRT(G42))*(1.35*MIN(Q42/P42,1)-0.35)</f>
        <v/>
      </c>
      <c r="T42" s="18">
        <f>R42-S42</f>
        <v/>
      </c>
      <c r="U42" s="18">
        <f>(0.408*H42*T42+J42*(900/(C42+273))*K42*(F42-G42))/(H42+J42*(1+0.34*K42))</f>
        <v/>
      </c>
      <c r="V42" s="11">
        <f>IF(원데이터!A42-설정!$B$16&lt;0,"발아전",IF(원데이터!A42-설정!$B$16&lt;설정!$B$17,"초기",IF(원데이터!A42-설정!$B$16&lt;설정!$B$17+설정!$B$18,"발육",IF(원데이터!A42-설정!$B$16&lt;설정!$B$17+설정!$B$18+설정!$B$19,"중기",IF(원데이터!A42-설정!$B$16&lt;설정!$B$17+설정!$B$18+설정!$B$19+설정!$B$20,"후기","후기이후")))))</f>
        <v/>
      </c>
      <c r="W42" s="12">
        <f>IF(원데이터!A42-설정!$B$16&lt;0,0,IF(원데이터!A42-설정!$B$16&lt;설정!$B$17,설정!$B$33,IF(원데이터!A42-설정!$B$16&lt;설정!$B$17+설정!$B$18,설정!$B$33+(설정!$B$34-설정!$B$33)*(원데이터!A42-설정!$B$16-설정!$B$17+1)/설정!$B$18,IF(원데이터!A42-설정!$B$16&lt;설정!$B$17+설정!$B$18+설정!$B$19,설정!$B$34,IF(원데이터!A42-설정!$B$16&lt;설정!$B$17+설정!$B$18+설정!$B$19+설정!$B$20,설정!$B$34+(설정!$B$35-설정!$B$34)*(원데이터!A42-설정!$B$16-설정!$B$17-설정!$B$18-설정!$B$19+1)/설정!$B$20,0)))))</f>
        <v/>
      </c>
      <c r="X42" s="12">
        <f>0.108-0.0286*K42+0.0422*LN(설정!$B$5)+0.1434*LN(원데이터!E42)-0.000631*LN(설정!$B$5)^2*LN(원데이터!E42)</f>
        <v/>
      </c>
      <c r="Y42" s="17">
        <f>원데이터!M42</f>
        <v/>
      </c>
      <c r="Z42" s="18">
        <f>X42*Y42</f>
        <v/>
      </c>
      <c r="AA42" s="18">
        <f>U42*W42</f>
        <v/>
      </c>
      <c r="AB42" s="18">
        <f>Z42*W42</f>
        <v/>
      </c>
    </row>
    <row r="43">
      <c r="A43" s="15">
        <f>원데이터!A43</f>
        <v/>
      </c>
      <c r="B43" s="14">
        <f>원데이터!A43-DATE(YEAR(원데이터!A43),1,1)+1</f>
        <v/>
      </c>
      <c r="C43" s="17">
        <f>(원데이터!B43+원데이터!C43)/2</f>
        <v/>
      </c>
      <c r="D43" s="12">
        <f>0.6108*EXP(17.27*원데이터!B43/(원데이터!B43+237.3))</f>
        <v/>
      </c>
      <c r="E43" s="12">
        <f>0.6108*EXP(17.27*원데이터!C43/(원데이터!C43+237.3))</f>
        <v/>
      </c>
      <c r="F43" s="12">
        <f>(D43+E43)/2</f>
        <v/>
      </c>
      <c r="G43" s="12">
        <f>IF(원데이터!H43&lt;&gt;"",원데이터!H43/10,IF(원데이터!I43&lt;&gt;"",0.6108*EXP(17.27*원데이터!I43/(원데이터!I43+237.3)),원데이터!E43/100*F43))</f>
        <v/>
      </c>
      <c r="H43" s="21">
        <f>4098*(0.6108*EXP(17.27*C43/(C43+237.3)))/(C43+237.3)^2</f>
        <v/>
      </c>
      <c r="I43" s="17">
        <f>IF(원데이터!J43&lt;&gt;"",원데이터!J43/10,101.3*((293-0.0065*설정!$B$3)/293)^5.26)</f>
        <v/>
      </c>
      <c r="J43" s="21">
        <f>0.000665*I43</f>
        <v/>
      </c>
      <c r="K43" s="18">
        <f>원데이터!G43*4.87/LN(67.8*설정!$B$4-5.42)</f>
        <v/>
      </c>
      <c r="L43" s="12">
        <f>1+0.033*COS(2*PI()*B43/365)</f>
        <v/>
      </c>
      <c r="M43" s="21">
        <f>0.409*SIN(2*PI()*B43/365-1.39)</f>
        <v/>
      </c>
      <c r="N43" s="21">
        <f>ACOS(-TAN(RADIANS(설정!$B$2))*TAN(M43))</f>
        <v/>
      </c>
      <c r="O43" s="18">
        <f>(24*60/PI())*0.082*L43*(N43*SIN(RADIANS(설정!$B$2))*SIN(M43)+COS(RADIANS(설정!$B$2))*COS(M43)*SIN(N43))</f>
        <v/>
      </c>
      <c r="P43" s="18">
        <f>(0.75+0.00002*설정!$B$3)*O43</f>
        <v/>
      </c>
      <c r="Q43" s="18">
        <f>IF(원데이터!K43&lt;&gt;"",원데이터!K43,(0.25+0.5*원데이터!L43/(24/PI()*N43))*O43)</f>
        <v/>
      </c>
      <c r="R43" s="18">
        <f>0.77*Q43</f>
        <v/>
      </c>
      <c r="S43" s="18">
        <f>0.000000004903*(((원데이터!B43+273.16)^4+(원데이터!C43+273.16)^4)/2)*(0.34-0.14*SQRT(G43))*(1.35*MIN(Q43/P43,1)-0.35)</f>
        <v/>
      </c>
      <c r="T43" s="18">
        <f>R43-S43</f>
        <v/>
      </c>
      <c r="U43" s="18">
        <f>(0.408*H43*T43+J43*(900/(C43+273))*K43*(F43-G43))/(H43+J43*(1+0.34*K43))</f>
        <v/>
      </c>
      <c r="V43" s="11">
        <f>IF(원데이터!A43-설정!$B$16&lt;0,"발아전",IF(원데이터!A43-설정!$B$16&lt;설정!$B$17,"초기",IF(원데이터!A43-설정!$B$16&lt;설정!$B$17+설정!$B$18,"발육",IF(원데이터!A43-설정!$B$16&lt;설정!$B$17+설정!$B$18+설정!$B$19,"중기",IF(원데이터!A43-설정!$B$16&lt;설정!$B$17+설정!$B$18+설정!$B$19+설정!$B$20,"후기","후기이후")))))</f>
        <v/>
      </c>
      <c r="W43" s="12">
        <f>IF(원데이터!A43-설정!$B$16&lt;0,0,IF(원데이터!A43-설정!$B$16&lt;설정!$B$17,설정!$B$33,IF(원데이터!A43-설정!$B$16&lt;설정!$B$17+설정!$B$18,설정!$B$33+(설정!$B$34-설정!$B$33)*(원데이터!A43-설정!$B$16-설정!$B$17+1)/설정!$B$18,IF(원데이터!A43-설정!$B$16&lt;설정!$B$17+설정!$B$18+설정!$B$19,설정!$B$34,IF(원데이터!A43-설정!$B$16&lt;설정!$B$17+설정!$B$18+설정!$B$19+설정!$B$20,설정!$B$34+(설정!$B$35-설정!$B$34)*(원데이터!A43-설정!$B$16-설정!$B$17-설정!$B$18-설정!$B$19+1)/설정!$B$20,0)))))</f>
        <v/>
      </c>
      <c r="X43" s="12">
        <f>0.108-0.0286*K43+0.0422*LN(설정!$B$5)+0.1434*LN(원데이터!E43)-0.000631*LN(설정!$B$5)^2*LN(원데이터!E43)</f>
        <v/>
      </c>
      <c r="Y43" s="17">
        <f>원데이터!M43</f>
        <v/>
      </c>
      <c r="Z43" s="18">
        <f>X43*Y43</f>
        <v/>
      </c>
      <c r="AA43" s="18">
        <f>U43*W43</f>
        <v/>
      </c>
      <c r="AB43" s="18">
        <f>Z43*W43</f>
        <v/>
      </c>
    </row>
    <row r="44">
      <c r="A44" s="15">
        <f>원데이터!A44</f>
        <v/>
      </c>
      <c r="B44" s="14">
        <f>원데이터!A44-DATE(YEAR(원데이터!A44),1,1)+1</f>
        <v/>
      </c>
      <c r="C44" s="17">
        <f>(원데이터!B44+원데이터!C44)/2</f>
        <v/>
      </c>
      <c r="D44" s="12">
        <f>0.6108*EXP(17.27*원데이터!B44/(원데이터!B44+237.3))</f>
        <v/>
      </c>
      <c r="E44" s="12">
        <f>0.6108*EXP(17.27*원데이터!C44/(원데이터!C44+237.3))</f>
        <v/>
      </c>
      <c r="F44" s="12">
        <f>(D44+E44)/2</f>
        <v/>
      </c>
      <c r="G44" s="12">
        <f>IF(원데이터!H44&lt;&gt;"",원데이터!H44/10,IF(원데이터!I44&lt;&gt;"",0.6108*EXP(17.27*원데이터!I44/(원데이터!I44+237.3)),원데이터!E44/100*F44))</f>
        <v/>
      </c>
      <c r="H44" s="21">
        <f>4098*(0.6108*EXP(17.27*C44/(C44+237.3)))/(C44+237.3)^2</f>
        <v/>
      </c>
      <c r="I44" s="17">
        <f>IF(원데이터!J44&lt;&gt;"",원데이터!J44/10,101.3*((293-0.0065*설정!$B$3)/293)^5.26)</f>
        <v/>
      </c>
      <c r="J44" s="21">
        <f>0.000665*I44</f>
        <v/>
      </c>
      <c r="K44" s="18">
        <f>원데이터!G44*4.87/LN(67.8*설정!$B$4-5.42)</f>
        <v/>
      </c>
      <c r="L44" s="12">
        <f>1+0.033*COS(2*PI()*B44/365)</f>
        <v/>
      </c>
      <c r="M44" s="21">
        <f>0.409*SIN(2*PI()*B44/365-1.39)</f>
        <v/>
      </c>
      <c r="N44" s="21">
        <f>ACOS(-TAN(RADIANS(설정!$B$2))*TAN(M44))</f>
        <v/>
      </c>
      <c r="O44" s="18">
        <f>(24*60/PI())*0.082*L44*(N44*SIN(RADIANS(설정!$B$2))*SIN(M44)+COS(RADIANS(설정!$B$2))*COS(M44)*SIN(N44))</f>
        <v/>
      </c>
      <c r="P44" s="18">
        <f>(0.75+0.00002*설정!$B$3)*O44</f>
        <v/>
      </c>
      <c r="Q44" s="18">
        <f>IF(원데이터!K44&lt;&gt;"",원데이터!K44,(0.25+0.5*원데이터!L44/(24/PI()*N44))*O44)</f>
        <v/>
      </c>
      <c r="R44" s="18">
        <f>0.77*Q44</f>
        <v/>
      </c>
      <c r="S44" s="18">
        <f>0.000000004903*(((원데이터!B44+273.16)^4+(원데이터!C44+273.16)^4)/2)*(0.34-0.14*SQRT(G44))*(1.35*MIN(Q44/P44,1)-0.35)</f>
        <v/>
      </c>
      <c r="T44" s="18">
        <f>R44-S44</f>
        <v/>
      </c>
      <c r="U44" s="18">
        <f>(0.408*H44*T44+J44*(900/(C44+273))*K44*(F44-G44))/(H44+J44*(1+0.34*K44))</f>
        <v/>
      </c>
      <c r="V44" s="11">
        <f>IF(원데이터!A44-설정!$B$16&lt;0,"발아전",IF(원데이터!A44-설정!$B$16&lt;설정!$B$17,"초기",IF(원데이터!A44-설정!$B$16&lt;설정!$B$17+설정!$B$18,"발육",IF(원데이터!A44-설정!$B$16&lt;설정!$B$17+설정!$B$18+설정!$B$19,"중기",IF(원데이터!A44-설정!$B$16&lt;설정!$B$17+설정!$B$18+설정!$B$19+설정!$B$20,"후기","후기이후")))))</f>
        <v/>
      </c>
      <c r="W44" s="12">
        <f>IF(원데이터!A44-설정!$B$16&lt;0,0,IF(원데이터!A44-설정!$B$16&lt;설정!$B$17,설정!$B$33,IF(원데이터!A44-설정!$B$16&lt;설정!$B$17+설정!$B$18,설정!$B$33+(설정!$B$34-설정!$B$33)*(원데이터!A44-설정!$B$16-설정!$B$17+1)/설정!$B$18,IF(원데이터!A44-설정!$B$16&lt;설정!$B$17+설정!$B$18+설정!$B$19,설정!$B$34,IF(원데이터!A44-설정!$B$16&lt;설정!$B$17+설정!$B$18+설정!$B$19+설정!$B$20,설정!$B$34+(설정!$B$35-설정!$B$34)*(원데이터!A44-설정!$B$16-설정!$B$17-설정!$B$18-설정!$B$19+1)/설정!$B$20,0)))))</f>
        <v/>
      </c>
      <c r="X44" s="12">
        <f>0.108-0.0286*K44+0.0422*LN(설정!$B$5)+0.1434*LN(원데이터!E44)-0.000631*LN(설정!$B$5)^2*LN(원데이터!E44)</f>
        <v/>
      </c>
      <c r="Y44" s="17">
        <f>원데이터!M44</f>
        <v/>
      </c>
      <c r="Z44" s="18">
        <f>X44*Y44</f>
        <v/>
      </c>
      <c r="AA44" s="18">
        <f>U44*W44</f>
        <v/>
      </c>
      <c r="AB44" s="18">
        <f>Z44*W44</f>
        <v/>
      </c>
    </row>
    <row r="45">
      <c r="A45" s="15">
        <f>원데이터!A45</f>
        <v/>
      </c>
      <c r="B45" s="14">
        <f>원데이터!A45-DATE(YEAR(원데이터!A45),1,1)+1</f>
        <v/>
      </c>
      <c r="C45" s="17">
        <f>(원데이터!B45+원데이터!C45)/2</f>
        <v/>
      </c>
      <c r="D45" s="12">
        <f>0.6108*EXP(17.27*원데이터!B45/(원데이터!B45+237.3))</f>
        <v/>
      </c>
      <c r="E45" s="12">
        <f>0.6108*EXP(17.27*원데이터!C45/(원데이터!C45+237.3))</f>
        <v/>
      </c>
      <c r="F45" s="12">
        <f>(D45+E45)/2</f>
        <v/>
      </c>
      <c r="G45" s="12">
        <f>IF(원데이터!H45&lt;&gt;"",원데이터!H45/10,IF(원데이터!I45&lt;&gt;"",0.6108*EXP(17.27*원데이터!I45/(원데이터!I45+237.3)),원데이터!E45/100*F45))</f>
        <v/>
      </c>
      <c r="H45" s="21">
        <f>4098*(0.6108*EXP(17.27*C45/(C45+237.3)))/(C45+237.3)^2</f>
        <v/>
      </c>
      <c r="I45" s="17">
        <f>IF(원데이터!J45&lt;&gt;"",원데이터!J45/10,101.3*((293-0.0065*설정!$B$3)/293)^5.26)</f>
        <v/>
      </c>
      <c r="J45" s="21">
        <f>0.000665*I45</f>
        <v/>
      </c>
      <c r="K45" s="18">
        <f>원데이터!G45*4.87/LN(67.8*설정!$B$4-5.42)</f>
        <v/>
      </c>
      <c r="L45" s="12">
        <f>1+0.033*COS(2*PI()*B45/365)</f>
        <v/>
      </c>
      <c r="M45" s="21">
        <f>0.409*SIN(2*PI()*B45/365-1.39)</f>
        <v/>
      </c>
      <c r="N45" s="21">
        <f>ACOS(-TAN(RADIANS(설정!$B$2))*TAN(M45))</f>
        <v/>
      </c>
      <c r="O45" s="18">
        <f>(24*60/PI())*0.082*L45*(N45*SIN(RADIANS(설정!$B$2))*SIN(M45)+COS(RADIANS(설정!$B$2))*COS(M45)*SIN(N45))</f>
        <v/>
      </c>
      <c r="P45" s="18">
        <f>(0.75+0.00002*설정!$B$3)*O45</f>
        <v/>
      </c>
      <c r="Q45" s="18">
        <f>IF(원데이터!K45&lt;&gt;"",원데이터!K45,(0.25+0.5*원데이터!L45/(24/PI()*N45))*O45)</f>
        <v/>
      </c>
      <c r="R45" s="18">
        <f>0.77*Q45</f>
        <v/>
      </c>
      <c r="S45" s="18">
        <f>0.000000004903*(((원데이터!B45+273.16)^4+(원데이터!C45+273.16)^4)/2)*(0.34-0.14*SQRT(G45))*(1.35*MIN(Q45/P45,1)-0.35)</f>
        <v/>
      </c>
      <c r="T45" s="18">
        <f>R45-S45</f>
        <v/>
      </c>
      <c r="U45" s="18">
        <f>(0.408*H45*T45+J45*(900/(C45+273))*K45*(F45-G45))/(H45+J45*(1+0.34*K45))</f>
        <v/>
      </c>
      <c r="V45" s="11">
        <f>IF(원데이터!A45-설정!$B$16&lt;0,"발아전",IF(원데이터!A45-설정!$B$16&lt;설정!$B$17,"초기",IF(원데이터!A45-설정!$B$16&lt;설정!$B$17+설정!$B$18,"발육",IF(원데이터!A45-설정!$B$16&lt;설정!$B$17+설정!$B$18+설정!$B$19,"중기",IF(원데이터!A45-설정!$B$16&lt;설정!$B$17+설정!$B$18+설정!$B$19+설정!$B$20,"후기","후기이후")))))</f>
        <v/>
      </c>
      <c r="W45" s="12">
        <f>IF(원데이터!A45-설정!$B$16&lt;0,0,IF(원데이터!A45-설정!$B$16&lt;설정!$B$17,설정!$B$33,IF(원데이터!A45-설정!$B$16&lt;설정!$B$17+설정!$B$18,설정!$B$33+(설정!$B$34-설정!$B$33)*(원데이터!A45-설정!$B$16-설정!$B$17+1)/설정!$B$18,IF(원데이터!A45-설정!$B$16&lt;설정!$B$17+설정!$B$18+설정!$B$19,설정!$B$34,IF(원데이터!A45-설정!$B$16&lt;설정!$B$17+설정!$B$18+설정!$B$19+설정!$B$20,설정!$B$34+(설정!$B$35-설정!$B$34)*(원데이터!A45-설정!$B$16-설정!$B$17-설정!$B$18-설정!$B$19+1)/설정!$B$20,0)))))</f>
        <v/>
      </c>
      <c r="X45" s="12">
        <f>0.108-0.0286*K45+0.0422*LN(설정!$B$5)+0.1434*LN(원데이터!E45)-0.000631*LN(설정!$B$5)^2*LN(원데이터!E45)</f>
        <v/>
      </c>
      <c r="Y45" s="17">
        <f>원데이터!M45</f>
        <v/>
      </c>
      <c r="Z45" s="18">
        <f>X45*Y45</f>
        <v/>
      </c>
      <c r="AA45" s="18">
        <f>U45*W45</f>
        <v/>
      </c>
      <c r="AB45" s="18">
        <f>Z45*W45</f>
        <v/>
      </c>
    </row>
    <row r="46">
      <c r="A46" s="15">
        <f>원데이터!A46</f>
        <v/>
      </c>
      <c r="B46" s="14">
        <f>원데이터!A46-DATE(YEAR(원데이터!A46),1,1)+1</f>
        <v/>
      </c>
      <c r="C46" s="17">
        <f>(원데이터!B46+원데이터!C46)/2</f>
        <v/>
      </c>
      <c r="D46" s="12">
        <f>0.6108*EXP(17.27*원데이터!B46/(원데이터!B46+237.3))</f>
        <v/>
      </c>
      <c r="E46" s="12">
        <f>0.6108*EXP(17.27*원데이터!C46/(원데이터!C46+237.3))</f>
        <v/>
      </c>
      <c r="F46" s="12">
        <f>(D46+E46)/2</f>
        <v/>
      </c>
      <c r="G46" s="12">
        <f>IF(원데이터!H46&lt;&gt;"",원데이터!H46/10,IF(원데이터!I46&lt;&gt;"",0.6108*EXP(17.27*원데이터!I46/(원데이터!I46+237.3)),원데이터!E46/100*F46))</f>
        <v/>
      </c>
      <c r="H46" s="21">
        <f>4098*(0.6108*EXP(17.27*C46/(C46+237.3)))/(C46+237.3)^2</f>
        <v/>
      </c>
      <c r="I46" s="17">
        <f>IF(원데이터!J46&lt;&gt;"",원데이터!J46/10,101.3*((293-0.0065*설정!$B$3)/293)^5.26)</f>
        <v/>
      </c>
      <c r="J46" s="21">
        <f>0.000665*I46</f>
        <v/>
      </c>
      <c r="K46" s="18">
        <f>원데이터!G46*4.87/LN(67.8*설정!$B$4-5.42)</f>
        <v/>
      </c>
      <c r="L46" s="12">
        <f>1+0.033*COS(2*PI()*B46/365)</f>
        <v/>
      </c>
      <c r="M46" s="21">
        <f>0.409*SIN(2*PI()*B46/365-1.39)</f>
        <v/>
      </c>
      <c r="N46" s="21">
        <f>ACOS(-TAN(RADIANS(설정!$B$2))*TAN(M46))</f>
        <v/>
      </c>
      <c r="O46" s="18">
        <f>(24*60/PI())*0.082*L46*(N46*SIN(RADIANS(설정!$B$2))*SIN(M46)+COS(RADIANS(설정!$B$2))*COS(M46)*SIN(N46))</f>
        <v/>
      </c>
      <c r="P46" s="18">
        <f>(0.75+0.00002*설정!$B$3)*O46</f>
        <v/>
      </c>
      <c r="Q46" s="18">
        <f>IF(원데이터!K46&lt;&gt;"",원데이터!K46,(0.25+0.5*원데이터!L46/(24/PI()*N46))*O46)</f>
        <v/>
      </c>
      <c r="R46" s="18">
        <f>0.77*Q46</f>
        <v/>
      </c>
      <c r="S46" s="18">
        <f>0.000000004903*(((원데이터!B46+273.16)^4+(원데이터!C46+273.16)^4)/2)*(0.34-0.14*SQRT(G46))*(1.35*MIN(Q46/P46,1)-0.35)</f>
        <v/>
      </c>
      <c r="T46" s="18">
        <f>R46-S46</f>
        <v/>
      </c>
      <c r="U46" s="18">
        <f>(0.408*H46*T46+J46*(900/(C46+273))*K46*(F46-G46))/(H46+J46*(1+0.34*K46))</f>
        <v/>
      </c>
      <c r="V46" s="11">
        <f>IF(원데이터!A46-설정!$B$16&lt;0,"발아전",IF(원데이터!A46-설정!$B$16&lt;설정!$B$17,"초기",IF(원데이터!A46-설정!$B$16&lt;설정!$B$17+설정!$B$18,"발육",IF(원데이터!A46-설정!$B$16&lt;설정!$B$17+설정!$B$18+설정!$B$19,"중기",IF(원데이터!A46-설정!$B$16&lt;설정!$B$17+설정!$B$18+설정!$B$19+설정!$B$20,"후기","후기이후")))))</f>
        <v/>
      </c>
      <c r="W46" s="12">
        <f>IF(원데이터!A46-설정!$B$16&lt;0,0,IF(원데이터!A46-설정!$B$16&lt;설정!$B$17,설정!$B$33,IF(원데이터!A46-설정!$B$16&lt;설정!$B$17+설정!$B$18,설정!$B$33+(설정!$B$34-설정!$B$33)*(원데이터!A46-설정!$B$16-설정!$B$17+1)/설정!$B$18,IF(원데이터!A46-설정!$B$16&lt;설정!$B$17+설정!$B$18+설정!$B$19,설정!$B$34,IF(원데이터!A46-설정!$B$16&lt;설정!$B$17+설정!$B$18+설정!$B$19+설정!$B$20,설정!$B$34+(설정!$B$35-설정!$B$34)*(원데이터!A46-설정!$B$16-설정!$B$17-설정!$B$18-설정!$B$19+1)/설정!$B$20,0)))))</f>
        <v/>
      </c>
      <c r="X46" s="12">
        <f>0.108-0.0286*K46+0.0422*LN(설정!$B$5)+0.1434*LN(원데이터!E46)-0.000631*LN(설정!$B$5)^2*LN(원데이터!E46)</f>
        <v/>
      </c>
      <c r="Y46" s="17">
        <f>원데이터!M46</f>
        <v/>
      </c>
      <c r="Z46" s="18">
        <f>X46*Y46</f>
        <v/>
      </c>
      <c r="AA46" s="18">
        <f>U46*W46</f>
        <v/>
      </c>
      <c r="AB46" s="18">
        <f>Z46*W46</f>
        <v/>
      </c>
    </row>
    <row r="47">
      <c r="A47" s="15">
        <f>원데이터!A47</f>
        <v/>
      </c>
      <c r="B47" s="14">
        <f>원데이터!A47-DATE(YEAR(원데이터!A47),1,1)+1</f>
        <v/>
      </c>
      <c r="C47" s="17">
        <f>(원데이터!B47+원데이터!C47)/2</f>
        <v/>
      </c>
      <c r="D47" s="12">
        <f>0.6108*EXP(17.27*원데이터!B47/(원데이터!B47+237.3))</f>
        <v/>
      </c>
      <c r="E47" s="12">
        <f>0.6108*EXP(17.27*원데이터!C47/(원데이터!C47+237.3))</f>
        <v/>
      </c>
      <c r="F47" s="12">
        <f>(D47+E47)/2</f>
        <v/>
      </c>
      <c r="G47" s="12">
        <f>IF(원데이터!H47&lt;&gt;"",원데이터!H47/10,IF(원데이터!I47&lt;&gt;"",0.6108*EXP(17.27*원데이터!I47/(원데이터!I47+237.3)),원데이터!E47/100*F47))</f>
        <v/>
      </c>
      <c r="H47" s="21">
        <f>4098*(0.6108*EXP(17.27*C47/(C47+237.3)))/(C47+237.3)^2</f>
        <v/>
      </c>
      <c r="I47" s="17">
        <f>IF(원데이터!J47&lt;&gt;"",원데이터!J47/10,101.3*((293-0.0065*설정!$B$3)/293)^5.26)</f>
        <v/>
      </c>
      <c r="J47" s="21">
        <f>0.000665*I47</f>
        <v/>
      </c>
      <c r="K47" s="18">
        <f>원데이터!G47*4.87/LN(67.8*설정!$B$4-5.42)</f>
        <v/>
      </c>
      <c r="L47" s="12">
        <f>1+0.033*COS(2*PI()*B47/365)</f>
        <v/>
      </c>
      <c r="M47" s="21">
        <f>0.409*SIN(2*PI()*B47/365-1.39)</f>
        <v/>
      </c>
      <c r="N47" s="21">
        <f>ACOS(-TAN(RADIANS(설정!$B$2))*TAN(M47))</f>
        <v/>
      </c>
      <c r="O47" s="18">
        <f>(24*60/PI())*0.082*L47*(N47*SIN(RADIANS(설정!$B$2))*SIN(M47)+COS(RADIANS(설정!$B$2))*COS(M47)*SIN(N47))</f>
        <v/>
      </c>
      <c r="P47" s="18">
        <f>(0.75+0.00002*설정!$B$3)*O47</f>
        <v/>
      </c>
      <c r="Q47" s="18">
        <f>IF(원데이터!K47&lt;&gt;"",원데이터!K47,(0.25+0.5*원데이터!L47/(24/PI()*N47))*O47)</f>
        <v/>
      </c>
      <c r="R47" s="18">
        <f>0.77*Q47</f>
        <v/>
      </c>
      <c r="S47" s="18">
        <f>0.000000004903*(((원데이터!B47+273.16)^4+(원데이터!C47+273.16)^4)/2)*(0.34-0.14*SQRT(G47))*(1.35*MIN(Q47/P47,1)-0.35)</f>
        <v/>
      </c>
      <c r="T47" s="18">
        <f>R47-S47</f>
        <v/>
      </c>
      <c r="U47" s="18">
        <f>(0.408*H47*T47+J47*(900/(C47+273))*K47*(F47-G47))/(H47+J47*(1+0.34*K47))</f>
        <v/>
      </c>
      <c r="V47" s="11">
        <f>IF(원데이터!A47-설정!$B$16&lt;0,"발아전",IF(원데이터!A47-설정!$B$16&lt;설정!$B$17,"초기",IF(원데이터!A47-설정!$B$16&lt;설정!$B$17+설정!$B$18,"발육",IF(원데이터!A47-설정!$B$16&lt;설정!$B$17+설정!$B$18+설정!$B$19,"중기",IF(원데이터!A47-설정!$B$16&lt;설정!$B$17+설정!$B$18+설정!$B$19+설정!$B$20,"후기","후기이후")))))</f>
        <v/>
      </c>
      <c r="W47" s="12">
        <f>IF(원데이터!A47-설정!$B$16&lt;0,0,IF(원데이터!A47-설정!$B$16&lt;설정!$B$17,설정!$B$33,IF(원데이터!A47-설정!$B$16&lt;설정!$B$17+설정!$B$18,설정!$B$33+(설정!$B$34-설정!$B$33)*(원데이터!A47-설정!$B$16-설정!$B$17+1)/설정!$B$18,IF(원데이터!A47-설정!$B$16&lt;설정!$B$17+설정!$B$18+설정!$B$19,설정!$B$34,IF(원데이터!A47-설정!$B$16&lt;설정!$B$17+설정!$B$18+설정!$B$19+설정!$B$20,설정!$B$34+(설정!$B$35-설정!$B$34)*(원데이터!A47-설정!$B$16-설정!$B$17-설정!$B$18-설정!$B$19+1)/설정!$B$20,0)))))</f>
        <v/>
      </c>
      <c r="X47" s="12">
        <f>0.108-0.0286*K47+0.0422*LN(설정!$B$5)+0.1434*LN(원데이터!E47)-0.000631*LN(설정!$B$5)^2*LN(원데이터!E47)</f>
        <v/>
      </c>
      <c r="Y47" s="17">
        <f>원데이터!M47</f>
        <v/>
      </c>
      <c r="Z47" s="18">
        <f>X47*Y47</f>
        <v/>
      </c>
      <c r="AA47" s="18">
        <f>U47*W47</f>
        <v/>
      </c>
      <c r="AB47" s="18">
        <f>Z47*W47</f>
        <v/>
      </c>
    </row>
    <row r="48">
      <c r="A48" s="15">
        <f>원데이터!A48</f>
        <v/>
      </c>
      <c r="B48" s="14">
        <f>원데이터!A48-DATE(YEAR(원데이터!A48),1,1)+1</f>
        <v/>
      </c>
      <c r="C48" s="17">
        <f>(원데이터!B48+원데이터!C48)/2</f>
        <v/>
      </c>
      <c r="D48" s="12">
        <f>0.6108*EXP(17.27*원데이터!B48/(원데이터!B48+237.3))</f>
        <v/>
      </c>
      <c r="E48" s="12">
        <f>0.6108*EXP(17.27*원데이터!C48/(원데이터!C48+237.3))</f>
        <v/>
      </c>
      <c r="F48" s="12">
        <f>(D48+E48)/2</f>
        <v/>
      </c>
      <c r="G48" s="12">
        <f>IF(원데이터!H48&lt;&gt;"",원데이터!H48/10,IF(원데이터!I48&lt;&gt;"",0.6108*EXP(17.27*원데이터!I48/(원데이터!I48+237.3)),원데이터!E48/100*F48))</f>
        <v/>
      </c>
      <c r="H48" s="21">
        <f>4098*(0.6108*EXP(17.27*C48/(C48+237.3)))/(C48+237.3)^2</f>
        <v/>
      </c>
      <c r="I48" s="17">
        <f>IF(원데이터!J48&lt;&gt;"",원데이터!J48/10,101.3*((293-0.0065*설정!$B$3)/293)^5.26)</f>
        <v/>
      </c>
      <c r="J48" s="21">
        <f>0.000665*I48</f>
        <v/>
      </c>
      <c r="K48" s="18">
        <f>원데이터!G48*4.87/LN(67.8*설정!$B$4-5.42)</f>
        <v/>
      </c>
      <c r="L48" s="12">
        <f>1+0.033*COS(2*PI()*B48/365)</f>
        <v/>
      </c>
      <c r="M48" s="21">
        <f>0.409*SIN(2*PI()*B48/365-1.39)</f>
        <v/>
      </c>
      <c r="N48" s="21">
        <f>ACOS(-TAN(RADIANS(설정!$B$2))*TAN(M48))</f>
        <v/>
      </c>
      <c r="O48" s="18">
        <f>(24*60/PI())*0.082*L48*(N48*SIN(RADIANS(설정!$B$2))*SIN(M48)+COS(RADIANS(설정!$B$2))*COS(M48)*SIN(N48))</f>
        <v/>
      </c>
      <c r="P48" s="18">
        <f>(0.75+0.00002*설정!$B$3)*O48</f>
        <v/>
      </c>
      <c r="Q48" s="18">
        <f>IF(원데이터!K48&lt;&gt;"",원데이터!K48,(0.25+0.5*원데이터!L48/(24/PI()*N48))*O48)</f>
        <v/>
      </c>
      <c r="R48" s="18">
        <f>0.77*Q48</f>
        <v/>
      </c>
      <c r="S48" s="18">
        <f>0.000000004903*(((원데이터!B48+273.16)^4+(원데이터!C48+273.16)^4)/2)*(0.34-0.14*SQRT(G48))*(1.35*MIN(Q48/P48,1)-0.35)</f>
        <v/>
      </c>
      <c r="T48" s="18">
        <f>R48-S48</f>
        <v/>
      </c>
      <c r="U48" s="18">
        <f>(0.408*H48*T48+J48*(900/(C48+273))*K48*(F48-G48))/(H48+J48*(1+0.34*K48))</f>
        <v/>
      </c>
      <c r="V48" s="11">
        <f>IF(원데이터!A48-설정!$B$16&lt;0,"발아전",IF(원데이터!A48-설정!$B$16&lt;설정!$B$17,"초기",IF(원데이터!A48-설정!$B$16&lt;설정!$B$17+설정!$B$18,"발육",IF(원데이터!A48-설정!$B$16&lt;설정!$B$17+설정!$B$18+설정!$B$19,"중기",IF(원데이터!A48-설정!$B$16&lt;설정!$B$17+설정!$B$18+설정!$B$19+설정!$B$20,"후기","후기이후")))))</f>
        <v/>
      </c>
      <c r="W48" s="12">
        <f>IF(원데이터!A48-설정!$B$16&lt;0,0,IF(원데이터!A48-설정!$B$16&lt;설정!$B$17,설정!$B$33,IF(원데이터!A48-설정!$B$16&lt;설정!$B$17+설정!$B$18,설정!$B$33+(설정!$B$34-설정!$B$33)*(원데이터!A48-설정!$B$16-설정!$B$17+1)/설정!$B$18,IF(원데이터!A48-설정!$B$16&lt;설정!$B$17+설정!$B$18+설정!$B$19,설정!$B$34,IF(원데이터!A48-설정!$B$16&lt;설정!$B$17+설정!$B$18+설정!$B$19+설정!$B$20,설정!$B$34+(설정!$B$35-설정!$B$34)*(원데이터!A48-설정!$B$16-설정!$B$17-설정!$B$18-설정!$B$19+1)/설정!$B$20,0)))))</f>
        <v/>
      </c>
      <c r="X48" s="12">
        <f>0.108-0.0286*K48+0.0422*LN(설정!$B$5)+0.1434*LN(원데이터!E48)-0.000631*LN(설정!$B$5)^2*LN(원데이터!E48)</f>
        <v/>
      </c>
      <c r="Y48" s="17">
        <f>원데이터!M48</f>
        <v/>
      </c>
      <c r="Z48" s="18">
        <f>X48*Y48</f>
        <v/>
      </c>
      <c r="AA48" s="18">
        <f>U48*W48</f>
        <v/>
      </c>
      <c r="AB48" s="18">
        <f>Z48*W48</f>
        <v/>
      </c>
    </row>
    <row r="49">
      <c r="A49" s="15">
        <f>원데이터!A49</f>
        <v/>
      </c>
      <c r="B49" s="14">
        <f>원데이터!A49-DATE(YEAR(원데이터!A49),1,1)+1</f>
        <v/>
      </c>
      <c r="C49" s="17">
        <f>(원데이터!B49+원데이터!C49)/2</f>
        <v/>
      </c>
      <c r="D49" s="12">
        <f>0.6108*EXP(17.27*원데이터!B49/(원데이터!B49+237.3))</f>
        <v/>
      </c>
      <c r="E49" s="12">
        <f>0.6108*EXP(17.27*원데이터!C49/(원데이터!C49+237.3))</f>
        <v/>
      </c>
      <c r="F49" s="12">
        <f>(D49+E49)/2</f>
        <v/>
      </c>
      <c r="G49" s="12">
        <f>IF(원데이터!H49&lt;&gt;"",원데이터!H49/10,IF(원데이터!I49&lt;&gt;"",0.6108*EXP(17.27*원데이터!I49/(원데이터!I49+237.3)),원데이터!E49/100*F49))</f>
        <v/>
      </c>
      <c r="H49" s="21">
        <f>4098*(0.6108*EXP(17.27*C49/(C49+237.3)))/(C49+237.3)^2</f>
        <v/>
      </c>
      <c r="I49" s="17">
        <f>IF(원데이터!J49&lt;&gt;"",원데이터!J49/10,101.3*((293-0.0065*설정!$B$3)/293)^5.26)</f>
        <v/>
      </c>
      <c r="J49" s="21">
        <f>0.000665*I49</f>
        <v/>
      </c>
      <c r="K49" s="18">
        <f>원데이터!G49*4.87/LN(67.8*설정!$B$4-5.42)</f>
        <v/>
      </c>
      <c r="L49" s="12">
        <f>1+0.033*COS(2*PI()*B49/365)</f>
        <v/>
      </c>
      <c r="M49" s="21">
        <f>0.409*SIN(2*PI()*B49/365-1.39)</f>
        <v/>
      </c>
      <c r="N49" s="21">
        <f>ACOS(-TAN(RADIANS(설정!$B$2))*TAN(M49))</f>
        <v/>
      </c>
      <c r="O49" s="18">
        <f>(24*60/PI())*0.082*L49*(N49*SIN(RADIANS(설정!$B$2))*SIN(M49)+COS(RADIANS(설정!$B$2))*COS(M49)*SIN(N49))</f>
        <v/>
      </c>
      <c r="P49" s="18">
        <f>(0.75+0.00002*설정!$B$3)*O49</f>
        <v/>
      </c>
      <c r="Q49" s="18">
        <f>IF(원데이터!K49&lt;&gt;"",원데이터!K49,(0.25+0.5*원데이터!L49/(24/PI()*N49))*O49)</f>
        <v/>
      </c>
      <c r="R49" s="18">
        <f>0.77*Q49</f>
        <v/>
      </c>
      <c r="S49" s="18">
        <f>0.000000004903*(((원데이터!B49+273.16)^4+(원데이터!C49+273.16)^4)/2)*(0.34-0.14*SQRT(G49))*(1.35*MIN(Q49/P49,1)-0.35)</f>
        <v/>
      </c>
      <c r="T49" s="18">
        <f>R49-S49</f>
        <v/>
      </c>
      <c r="U49" s="18">
        <f>(0.408*H49*T49+J49*(900/(C49+273))*K49*(F49-G49))/(H49+J49*(1+0.34*K49))</f>
        <v/>
      </c>
      <c r="V49" s="11">
        <f>IF(원데이터!A49-설정!$B$16&lt;0,"발아전",IF(원데이터!A49-설정!$B$16&lt;설정!$B$17,"초기",IF(원데이터!A49-설정!$B$16&lt;설정!$B$17+설정!$B$18,"발육",IF(원데이터!A49-설정!$B$16&lt;설정!$B$17+설정!$B$18+설정!$B$19,"중기",IF(원데이터!A49-설정!$B$16&lt;설정!$B$17+설정!$B$18+설정!$B$19+설정!$B$20,"후기","후기이후")))))</f>
        <v/>
      </c>
      <c r="W49" s="12">
        <f>IF(원데이터!A49-설정!$B$16&lt;0,0,IF(원데이터!A49-설정!$B$16&lt;설정!$B$17,설정!$B$33,IF(원데이터!A49-설정!$B$16&lt;설정!$B$17+설정!$B$18,설정!$B$33+(설정!$B$34-설정!$B$33)*(원데이터!A49-설정!$B$16-설정!$B$17+1)/설정!$B$18,IF(원데이터!A49-설정!$B$16&lt;설정!$B$17+설정!$B$18+설정!$B$19,설정!$B$34,IF(원데이터!A49-설정!$B$16&lt;설정!$B$17+설정!$B$18+설정!$B$19+설정!$B$20,설정!$B$34+(설정!$B$35-설정!$B$34)*(원데이터!A49-설정!$B$16-설정!$B$17-설정!$B$18-설정!$B$19+1)/설정!$B$20,0)))))</f>
        <v/>
      </c>
      <c r="X49" s="12">
        <f>0.108-0.0286*K49+0.0422*LN(설정!$B$5)+0.1434*LN(원데이터!E49)-0.000631*LN(설정!$B$5)^2*LN(원데이터!E49)</f>
        <v/>
      </c>
      <c r="Y49" s="17">
        <f>원데이터!M49</f>
        <v/>
      </c>
      <c r="Z49" s="18">
        <f>X49*Y49</f>
        <v/>
      </c>
      <c r="AA49" s="18">
        <f>U49*W49</f>
        <v/>
      </c>
      <c r="AB49" s="18">
        <f>Z49*W49</f>
        <v/>
      </c>
    </row>
    <row r="50">
      <c r="A50" s="15">
        <f>원데이터!A50</f>
        <v/>
      </c>
      <c r="B50" s="14">
        <f>원데이터!A50-DATE(YEAR(원데이터!A50),1,1)+1</f>
        <v/>
      </c>
      <c r="C50" s="17">
        <f>(원데이터!B50+원데이터!C50)/2</f>
        <v/>
      </c>
      <c r="D50" s="12">
        <f>0.6108*EXP(17.27*원데이터!B50/(원데이터!B50+237.3))</f>
        <v/>
      </c>
      <c r="E50" s="12">
        <f>0.6108*EXP(17.27*원데이터!C50/(원데이터!C50+237.3))</f>
        <v/>
      </c>
      <c r="F50" s="12">
        <f>(D50+E50)/2</f>
        <v/>
      </c>
      <c r="G50" s="12">
        <f>IF(원데이터!H50&lt;&gt;"",원데이터!H50/10,IF(원데이터!I50&lt;&gt;"",0.6108*EXP(17.27*원데이터!I50/(원데이터!I50+237.3)),원데이터!E50/100*F50))</f>
        <v/>
      </c>
      <c r="H50" s="21">
        <f>4098*(0.6108*EXP(17.27*C50/(C50+237.3)))/(C50+237.3)^2</f>
        <v/>
      </c>
      <c r="I50" s="17">
        <f>IF(원데이터!J50&lt;&gt;"",원데이터!J50/10,101.3*((293-0.0065*설정!$B$3)/293)^5.26)</f>
        <v/>
      </c>
      <c r="J50" s="21">
        <f>0.000665*I50</f>
        <v/>
      </c>
      <c r="K50" s="18">
        <f>원데이터!G50*4.87/LN(67.8*설정!$B$4-5.42)</f>
        <v/>
      </c>
      <c r="L50" s="12">
        <f>1+0.033*COS(2*PI()*B50/365)</f>
        <v/>
      </c>
      <c r="M50" s="21">
        <f>0.409*SIN(2*PI()*B50/365-1.39)</f>
        <v/>
      </c>
      <c r="N50" s="21">
        <f>ACOS(-TAN(RADIANS(설정!$B$2))*TAN(M50))</f>
        <v/>
      </c>
      <c r="O50" s="18">
        <f>(24*60/PI())*0.082*L50*(N50*SIN(RADIANS(설정!$B$2))*SIN(M50)+COS(RADIANS(설정!$B$2))*COS(M50)*SIN(N50))</f>
        <v/>
      </c>
      <c r="P50" s="18">
        <f>(0.75+0.00002*설정!$B$3)*O50</f>
        <v/>
      </c>
      <c r="Q50" s="18">
        <f>IF(원데이터!K50&lt;&gt;"",원데이터!K50,(0.25+0.5*원데이터!L50/(24/PI()*N50))*O50)</f>
        <v/>
      </c>
      <c r="R50" s="18">
        <f>0.77*Q50</f>
        <v/>
      </c>
      <c r="S50" s="18">
        <f>0.000000004903*(((원데이터!B50+273.16)^4+(원데이터!C50+273.16)^4)/2)*(0.34-0.14*SQRT(G50))*(1.35*MIN(Q50/P50,1)-0.35)</f>
        <v/>
      </c>
      <c r="T50" s="18">
        <f>R50-S50</f>
        <v/>
      </c>
      <c r="U50" s="18">
        <f>(0.408*H50*T50+J50*(900/(C50+273))*K50*(F50-G50))/(H50+J50*(1+0.34*K50))</f>
        <v/>
      </c>
      <c r="V50" s="11">
        <f>IF(원데이터!A50-설정!$B$16&lt;0,"발아전",IF(원데이터!A50-설정!$B$16&lt;설정!$B$17,"초기",IF(원데이터!A50-설정!$B$16&lt;설정!$B$17+설정!$B$18,"발육",IF(원데이터!A50-설정!$B$16&lt;설정!$B$17+설정!$B$18+설정!$B$19,"중기",IF(원데이터!A50-설정!$B$16&lt;설정!$B$17+설정!$B$18+설정!$B$19+설정!$B$20,"후기","후기이후")))))</f>
        <v/>
      </c>
      <c r="W50" s="12">
        <f>IF(원데이터!A50-설정!$B$16&lt;0,0,IF(원데이터!A50-설정!$B$16&lt;설정!$B$17,설정!$B$33,IF(원데이터!A50-설정!$B$16&lt;설정!$B$17+설정!$B$18,설정!$B$33+(설정!$B$34-설정!$B$33)*(원데이터!A50-설정!$B$16-설정!$B$17+1)/설정!$B$18,IF(원데이터!A50-설정!$B$16&lt;설정!$B$17+설정!$B$18+설정!$B$19,설정!$B$34,IF(원데이터!A50-설정!$B$16&lt;설정!$B$17+설정!$B$18+설정!$B$19+설정!$B$20,설정!$B$34+(설정!$B$35-설정!$B$34)*(원데이터!A50-설정!$B$16-설정!$B$17-설정!$B$18-설정!$B$19+1)/설정!$B$20,0)))))</f>
        <v/>
      </c>
      <c r="X50" s="12">
        <f>0.108-0.0286*K50+0.0422*LN(설정!$B$5)+0.1434*LN(원데이터!E50)-0.000631*LN(설정!$B$5)^2*LN(원데이터!E50)</f>
        <v/>
      </c>
      <c r="Y50" s="17">
        <f>원데이터!M50</f>
        <v/>
      </c>
      <c r="Z50" s="18">
        <f>X50*Y50</f>
        <v/>
      </c>
      <c r="AA50" s="18">
        <f>U50*W50</f>
        <v/>
      </c>
      <c r="AB50" s="18">
        <f>Z50*W50</f>
        <v/>
      </c>
    </row>
    <row r="51">
      <c r="A51" s="15">
        <f>원데이터!A51</f>
        <v/>
      </c>
      <c r="B51" s="14">
        <f>원데이터!A51-DATE(YEAR(원데이터!A51),1,1)+1</f>
        <v/>
      </c>
      <c r="C51" s="17">
        <f>(원데이터!B51+원데이터!C51)/2</f>
        <v/>
      </c>
      <c r="D51" s="12">
        <f>0.6108*EXP(17.27*원데이터!B51/(원데이터!B51+237.3))</f>
        <v/>
      </c>
      <c r="E51" s="12">
        <f>0.6108*EXP(17.27*원데이터!C51/(원데이터!C51+237.3))</f>
        <v/>
      </c>
      <c r="F51" s="12">
        <f>(D51+E51)/2</f>
        <v/>
      </c>
      <c r="G51" s="12">
        <f>IF(원데이터!H51&lt;&gt;"",원데이터!H51/10,IF(원데이터!I51&lt;&gt;"",0.6108*EXP(17.27*원데이터!I51/(원데이터!I51+237.3)),원데이터!E51/100*F51))</f>
        <v/>
      </c>
      <c r="H51" s="21">
        <f>4098*(0.6108*EXP(17.27*C51/(C51+237.3)))/(C51+237.3)^2</f>
        <v/>
      </c>
      <c r="I51" s="17">
        <f>IF(원데이터!J51&lt;&gt;"",원데이터!J51/10,101.3*((293-0.0065*설정!$B$3)/293)^5.26)</f>
        <v/>
      </c>
      <c r="J51" s="21">
        <f>0.000665*I51</f>
        <v/>
      </c>
      <c r="K51" s="18">
        <f>원데이터!G51*4.87/LN(67.8*설정!$B$4-5.42)</f>
        <v/>
      </c>
      <c r="L51" s="12">
        <f>1+0.033*COS(2*PI()*B51/365)</f>
        <v/>
      </c>
      <c r="M51" s="21">
        <f>0.409*SIN(2*PI()*B51/365-1.39)</f>
        <v/>
      </c>
      <c r="N51" s="21">
        <f>ACOS(-TAN(RADIANS(설정!$B$2))*TAN(M51))</f>
        <v/>
      </c>
      <c r="O51" s="18">
        <f>(24*60/PI())*0.082*L51*(N51*SIN(RADIANS(설정!$B$2))*SIN(M51)+COS(RADIANS(설정!$B$2))*COS(M51)*SIN(N51))</f>
        <v/>
      </c>
      <c r="P51" s="18">
        <f>(0.75+0.00002*설정!$B$3)*O51</f>
        <v/>
      </c>
      <c r="Q51" s="18">
        <f>IF(원데이터!K51&lt;&gt;"",원데이터!K51,(0.25+0.5*원데이터!L51/(24/PI()*N51))*O51)</f>
        <v/>
      </c>
      <c r="R51" s="18">
        <f>0.77*Q51</f>
        <v/>
      </c>
      <c r="S51" s="18">
        <f>0.000000004903*(((원데이터!B51+273.16)^4+(원데이터!C51+273.16)^4)/2)*(0.34-0.14*SQRT(G51))*(1.35*MIN(Q51/P51,1)-0.35)</f>
        <v/>
      </c>
      <c r="T51" s="18">
        <f>R51-S51</f>
        <v/>
      </c>
      <c r="U51" s="18">
        <f>(0.408*H51*T51+J51*(900/(C51+273))*K51*(F51-G51))/(H51+J51*(1+0.34*K51))</f>
        <v/>
      </c>
      <c r="V51" s="11">
        <f>IF(원데이터!A51-설정!$B$16&lt;0,"발아전",IF(원데이터!A51-설정!$B$16&lt;설정!$B$17,"초기",IF(원데이터!A51-설정!$B$16&lt;설정!$B$17+설정!$B$18,"발육",IF(원데이터!A51-설정!$B$16&lt;설정!$B$17+설정!$B$18+설정!$B$19,"중기",IF(원데이터!A51-설정!$B$16&lt;설정!$B$17+설정!$B$18+설정!$B$19+설정!$B$20,"후기","후기이후")))))</f>
        <v/>
      </c>
      <c r="W51" s="12">
        <f>IF(원데이터!A51-설정!$B$16&lt;0,0,IF(원데이터!A51-설정!$B$16&lt;설정!$B$17,설정!$B$33,IF(원데이터!A51-설정!$B$16&lt;설정!$B$17+설정!$B$18,설정!$B$33+(설정!$B$34-설정!$B$33)*(원데이터!A51-설정!$B$16-설정!$B$17+1)/설정!$B$18,IF(원데이터!A51-설정!$B$16&lt;설정!$B$17+설정!$B$18+설정!$B$19,설정!$B$34,IF(원데이터!A51-설정!$B$16&lt;설정!$B$17+설정!$B$18+설정!$B$19+설정!$B$20,설정!$B$34+(설정!$B$35-설정!$B$34)*(원데이터!A51-설정!$B$16-설정!$B$17-설정!$B$18-설정!$B$19+1)/설정!$B$20,0)))))</f>
        <v/>
      </c>
      <c r="X51" s="12">
        <f>0.108-0.0286*K51+0.0422*LN(설정!$B$5)+0.1434*LN(원데이터!E51)-0.000631*LN(설정!$B$5)^2*LN(원데이터!E51)</f>
        <v/>
      </c>
      <c r="Y51" s="17">
        <f>원데이터!M51</f>
        <v/>
      </c>
      <c r="Z51" s="18">
        <f>X51*Y51</f>
        <v/>
      </c>
      <c r="AA51" s="18">
        <f>U51*W51</f>
        <v/>
      </c>
      <c r="AB51" s="18">
        <f>Z51*W51</f>
        <v/>
      </c>
    </row>
    <row r="52">
      <c r="A52" s="15">
        <f>원데이터!A52</f>
        <v/>
      </c>
      <c r="B52" s="14">
        <f>원데이터!A52-DATE(YEAR(원데이터!A52),1,1)+1</f>
        <v/>
      </c>
      <c r="C52" s="17">
        <f>(원데이터!B52+원데이터!C52)/2</f>
        <v/>
      </c>
      <c r="D52" s="12">
        <f>0.6108*EXP(17.27*원데이터!B52/(원데이터!B52+237.3))</f>
        <v/>
      </c>
      <c r="E52" s="12">
        <f>0.6108*EXP(17.27*원데이터!C52/(원데이터!C52+237.3))</f>
        <v/>
      </c>
      <c r="F52" s="12">
        <f>(D52+E52)/2</f>
        <v/>
      </c>
      <c r="G52" s="12">
        <f>IF(원데이터!H52&lt;&gt;"",원데이터!H52/10,IF(원데이터!I52&lt;&gt;"",0.6108*EXP(17.27*원데이터!I52/(원데이터!I52+237.3)),원데이터!E52/100*F52))</f>
        <v/>
      </c>
      <c r="H52" s="21">
        <f>4098*(0.6108*EXP(17.27*C52/(C52+237.3)))/(C52+237.3)^2</f>
        <v/>
      </c>
      <c r="I52" s="17">
        <f>IF(원데이터!J52&lt;&gt;"",원데이터!J52/10,101.3*((293-0.0065*설정!$B$3)/293)^5.26)</f>
        <v/>
      </c>
      <c r="J52" s="21">
        <f>0.000665*I52</f>
        <v/>
      </c>
      <c r="K52" s="18">
        <f>원데이터!G52*4.87/LN(67.8*설정!$B$4-5.42)</f>
        <v/>
      </c>
      <c r="L52" s="12">
        <f>1+0.033*COS(2*PI()*B52/365)</f>
        <v/>
      </c>
      <c r="M52" s="21">
        <f>0.409*SIN(2*PI()*B52/365-1.39)</f>
        <v/>
      </c>
      <c r="N52" s="21">
        <f>ACOS(-TAN(RADIANS(설정!$B$2))*TAN(M52))</f>
        <v/>
      </c>
      <c r="O52" s="18">
        <f>(24*60/PI())*0.082*L52*(N52*SIN(RADIANS(설정!$B$2))*SIN(M52)+COS(RADIANS(설정!$B$2))*COS(M52)*SIN(N52))</f>
        <v/>
      </c>
      <c r="P52" s="18">
        <f>(0.75+0.00002*설정!$B$3)*O52</f>
        <v/>
      </c>
      <c r="Q52" s="18">
        <f>IF(원데이터!K52&lt;&gt;"",원데이터!K52,(0.25+0.5*원데이터!L52/(24/PI()*N52))*O52)</f>
        <v/>
      </c>
      <c r="R52" s="18">
        <f>0.77*Q52</f>
        <v/>
      </c>
      <c r="S52" s="18">
        <f>0.000000004903*(((원데이터!B52+273.16)^4+(원데이터!C52+273.16)^4)/2)*(0.34-0.14*SQRT(G52))*(1.35*MIN(Q52/P52,1)-0.35)</f>
        <v/>
      </c>
      <c r="T52" s="18">
        <f>R52-S52</f>
        <v/>
      </c>
      <c r="U52" s="18">
        <f>(0.408*H52*T52+J52*(900/(C52+273))*K52*(F52-G52))/(H52+J52*(1+0.34*K52))</f>
        <v/>
      </c>
      <c r="V52" s="11">
        <f>IF(원데이터!A52-설정!$B$16&lt;0,"발아전",IF(원데이터!A52-설정!$B$16&lt;설정!$B$17,"초기",IF(원데이터!A52-설정!$B$16&lt;설정!$B$17+설정!$B$18,"발육",IF(원데이터!A52-설정!$B$16&lt;설정!$B$17+설정!$B$18+설정!$B$19,"중기",IF(원데이터!A52-설정!$B$16&lt;설정!$B$17+설정!$B$18+설정!$B$19+설정!$B$20,"후기","후기이후")))))</f>
        <v/>
      </c>
      <c r="W52" s="12">
        <f>IF(원데이터!A52-설정!$B$16&lt;0,0,IF(원데이터!A52-설정!$B$16&lt;설정!$B$17,설정!$B$33,IF(원데이터!A52-설정!$B$16&lt;설정!$B$17+설정!$B$18,설정!$B$33+(설정!$B$34-설정!$B$33)*(원데이터!A52-설정!$B$16-설정!$B$17+1)/설정!$B$18,IF(원데이터!A52-설정!$B$16&lt;설정!$B$17+설정!$B$18+설정!$B$19,설정!$B$34,IF(원데이터!A52-설정!$B$16&lt;설정!$B$17+설정!$B$18+설정!$B$19+설정!$B$20,설정!$B$34+(설정!$B$35-설정!$B$34)*(원데이터!A52-설정!$B$16-설정!$B$17-설정!$B$18-설정!$B$19+1)/설정!$B$20,0)))))</f>
        <v/>
      </c>
      <c r="X52" s="12">
        <f>0.108-0.0286*K52+0.0422*LN(설정!$B$5)+0.1434*LN(원데이터!E52)-0.000631*LN(설정!$B$5)^2*LN(원데이터!E52)</f>
        <v/>
      </c>
      <c r="Y52" s="17">
        <f>원데이터!M52</f>
        <v/>
      </c>
      <c r="Z52" s="18">
        <f>X52*Y52</f>
        <v/>
      </c>
      <c r="AA52" s="18">
        <f>U52*W52</f>
        <v/>
      </c>
      <c r="AB52" s="18">
        <f>Z52*W52</f>
        <v/>
      </c>
    </row>
    <row r="53">
      <c r="A53" s="15">
        <f>원데이터!A53</f>
        <v/>
      </c>
      <c r="B53" s="14">
        <f>원데이터!A53-DATE(YEAR(원데이터!A53),1,1)+1</f>
        <v/>
      </c>
      <c r="C53" s="17">
        <f>(원데이터!B53+원데이터!C53)/2</f>
        <v/>
      </c>
      <c r="D53" s="12">
        <f>0.6108*EXP(17.27*원데이터!B53/(원데이터!B53+237.3))</f>
        <v/>
      </c>
      <c r="E53" s="12">
        <f>0.6108*EXP(17.27*원데이터!C53/(원데이터!C53+237.3))</f>
        <v/>
      </c>
      <c r="F53" s="12">
        <f>(D53+E53)/2</f>
        <v/>
      </c>
      <c r="G53" s="12">
        <f>IF(원데이터!H53&lt;&gt;"",원데이터!H53/10,IF(원데이터!I53&lt;&gt;"",0.6108*EXP(17.27*원데이터!I53/(원데이터!I53+237.3)),원데이터!E53/100*F53))</f>
        <v/>
      </c>
      <c r="H53" s="21">
        <f>4098*(0.6108*EXP(17.27*C53/(C53+237.3)))/(C53+237.3)^2</f>
        <v/>
      </c>
      <c r="I53" s="17">
        <f>IF(원데이터!J53&lt;&gt;"",원데이터!J53/10,101.3*((293-0.0065*설정!$B$3)/293)^5.26)</f>
        <v/>
      </c>
      <c r="J53" s="21">
        <f>0.000665*I53</f>
        <v/>
      </c>
      <c r="K53" s="18">
        <f>원데이터!G53*4.87/LN(67.8*설정!$B$4-5.42)</f>
        <v/>
      </c>
      <c r="L53" s="12">
        <f>1+0.033*COS(2*PI()*B53/365)</f>
        <v/>
      </c>
      <c r="M53" s="21">
        <f>0.409*SIN(2*PI()*B53/365-1.39)</f>
        <v/>
      </c>
      <c r="N53" s="21">
        <f>ACOS(-TAN(RADIANS(설정!$B$2))*TAN(M53))</f>
        <v/>
      </c>
      <c r="O53" s="18">
        <f>(24*60/PI())*0.082*L53*(N53*SIN(RADIANS(설정!$B$2))*SIN(M53)+COS(RADIANS(설정!$B$2))*COS(M53)*SIN(N53))</f>
        <v/>
      </c>
      <c r="P53" s="18">
        <f>(0.75+0.00002*설정!$B$3)*O53</f>
        <v/>
      </c>
      <c r="Q53" s="18">
        <f>IF(원데이터!K53&lt;&gt;"",원데이터!K53,(0.25+0.5*원데이터!L53/(24/PI()*N53))*O53)</f>
        <v/>
      </c>
      <c r="R53" s="18">
        <f>0.77*Q53</f>
        <v/>
      </c>
      <c r="S53" s="18">
        <f>0.000000004903*(((원데이터!B53+273.16)^4+(원데이터!C53+273.16)^4)/2)*(0.34-0.14*SQRT(G53))*(1.35*MIN(Q53/P53,1)-0.35)</f>
        <v/>
      </c>
      <c r="T53" s="18">
        <f>R53-S53</f>
        <v/>
      </c>
      <c r="U53" s="18">
        <f>(0.408*H53*T53+J53*(900/(C53+273))*K53*(F53-G53))/(H53+J53*(1+0.34*K53))</f>
        <v/>
      </c>
      <c r="V53" s="11">
        <f>IF(원데이터!A53-설정!$B$16&lt;0,"발아전",IF(원데이터!A53-설정!$B$16&lt;설정!$B$17,"초기",IF(원데이터!A53-설정!$B$16&lt;설정!$B$17+설정!$B$18,"발육",IF(원데이터!A53-설정!$B$16&lt;설정!$B$17+설정!$B$18+설정!$B$19,"중기",IF(원데이터!A53-설정!$B$16&lt;설정!$B$17+설정!$B$18+설정!$B$19+설정!$B$20,"후기","후기이후")))))</f>
        <v/>
      </c>
      <c r="W53" s="12">
        <f>IF(원데이터!A53-설정!$B$16&lt;0,0,IF(원데이터!A53-설정!$B$16&lt;설정!$B$17,설정!$B$33,IF(원데이터!A53-설정!$B$16&lt;설정!$B$17+설정!$B$18,설정!$B$33+(설정!$B$34-설정!$B$33)*(원데이터!A53-설정!$B$16-설정!$B$17+1)/설정!$B$18,IF(원데이터!A53-설정!$B$16&lt;설정!$B$17+설정!$B$18+설정!$B$19,설정!$B$34,IF(원데이터!A53-설정!$B$16&lt;설정!$B$17+설정!$B$18+설정!$B$19+설정!$B$20,설정!$B$34+(설정!$B$35-설정!$B$34)*(원데이터!A53-설정!$B$16-설정!$B$17-설정!$B$18-설정!$B$19+1)/설정!$B$20,0)))))</f>
        <v/>
      </c>
      <c r="X53" s="12">
        <f>0.108-0.0286*K53+0.0422*LN(설정!$B$5)+0.1434*LN(원데이터!E53)-0.000631*LN(설정!$B$5)^2*LN(원데이터!E53)</f>
        <v/>
      </c>
      <c r="Y53" s="17">
        <f>원데이터!M53</f>
        <v/>
      </c>
      <c r="Z53" s="18">
        <f>X53*Y53</f>
        <v/>
      </c>
      <c r="AA53" s="18">
        <f>U53*W53</f>
        <v/>
      </c>
      <c r="AB53" s="18">
        <f>Z53*W53</f>
        <v/>
      </c>
    </row>
    <row r="54">
      <c r="A54" s="15">
        <f>원데이터!A54</f>
        <v/>
      </c>
      <c r="B54" s="14">
        <f>원데이터!A54-DATE(YEAR(원데이터!A54),1,1)+1</f>
        <v/>
      </c>
      <c r="C54" s="17">
        <f>(원데이터!B54+원데이터!C54)/2</f>
        <v/>
      </c>
      <c r="D54" s="12">
        <f>0.6108*EXP(17.27*원데이터!B54/(원데이터!B54+237.3))</f>
        <v/>
      </c>
      <c r="E54" s="12">
        <f>0.6108*EXP(17.27*원데이터!C54/(원데이터!C54+237.3))</f>
        <v/>
      </c>
      <c r="F54" s="12">
        <f>(D54+E54)/2</f>
        <v/>
      </c>
      <c r="G54" s="12">
        <f>IF(원데이터!H54&lt;&gt;"",원데이터!H54/10,IF(원데이터!I54&lt;&gt;"",0.6108*EXP(17.27*원데이터!I54/(원데이터!I54+237.3)),원데이터!E54/100*F54))</f>
        <v/>
      </c>
      <c r="H54" s="21">
        <f>4098*(0.6108*EXP(17.27*C54/(C54+237.3)))/(C54+237.3)^2</f>
        <v/>
      </c>
      <c r="I54" s="17">
        <f>IF(원데이터!J54&lt;&gt;"",원데이터!J54/10,101.3*((293-0.0065*설정!$B$3)/293)^5.26)</f>
        <v/>
      </c>
      <c r="J54" s="21">
        <f>0.000665*I54</f>
        <v/>
      </c>
      <c r="K54" s="18">
        <f>원데이터!G54*4.87/LN(67.8*설정!$B$4-5.42)</f>
        <v/>
      </c>
      <c r="L54" s="12">
        <f>1+0.033*COS(2*PI()*B54/365)</f>
        <v/>
      </c>
      <c r="M54" s="21">
        <f>0.409*SIN(2*PI()*B54/365-1.39)</f>
        <v/>
      </c>
      <c r="N54" s="21">
        <f>ACOS(-TAN(RADIANS(설정!$B$2))*TAN(M54))</f>
        <v/>
      </c>
      <c r="O54" s="18">
        <f>(24*60/PI())*0.082*L54*(N54*SIN(RADIANS(설정!$B$2))*SIN(M54)+COS(RADIANS(설정!$B$2))*COS(M54)*SIN(N54))</f>
        <v/>
      </c>
      <c r="P54" s="18">
        <f>(0.75+0.00002*설정!$B$3)*O54</f>
        <v/>
      </c>
      <c r="Q54" s="18">
        <f>IF(원데이터!K54&lt;&gt;"",원데이터!K54,(0.25+0.5*원데이터!L54/(24/PI()*N54))*O54)</f>
        <v/>
      </c>
      <c r="R54" s="18">
        <f>0.77*Q54</f>
        <v/>
      </c>
      <c r="S54" s="18">
        <f>0.000000004903*(((원데이터!B54+273.16)^4+(원데이터!C54+273.16)^4)/2)*(0.34-0.14*SQRT(G54))*(1.35*MIN(Q54/P54,1)-0.35)</f>
        <v/>
      </c>
      <c r="T54" s="18">
        <f>R54-S54</f>
        <v/>
      </c>
      <c r="U54" s="18">
        <f>(0.408*H54*T54+J54*(900/(C54+273))*K54*(F54-G54))/(H54+J54*(1+0.34*K54))</f>
        <v/>
      </c>
      <c r="V54" s="11">
        <f>IF(원데이터!A54-설정!$B$16&lt;0,"발아전",IF(원데이터!A54-설정!$B$16&lt;설정!$B$17,"초기",IF(원데이터!A54-설정!$B$16&lt;설정!$B$17+설정!$B$18,"발육",IF(원데이터!A54-설정!$B$16&lt;설정!$B$17+설정!$B$18+설정!$B$19,"중기",IF(원데이터!A54-설정!$B$16&lt;설정!$B$17+설정!$B$18+설정!$B$19+설정!$B$20,"후기","후기이후")))))</f>
        <v/>
      </c>
      <c r="W54" s="12">
        <f>IF(원데이터!A54-설정!$B$16&lt;0,0,IF(원데이터!A54-설정!$B$16&lt;설정!$B$17,설정!$B$33,IF(원데이터!A54-설정!$B$16&lt;설정!$B$17+설정!$B$18,설정!$B$33+(설정!$B$34-설정!$B$33)*(원데이터!A54-설정!$B$16-설정!$B$17+1)/설정!$B$18,IF(원데이터!A54-설정!$B$16&lt;설정!$B$17+설정!$B$18+설정!$B$19,설정!$B$34,IF(원데이터!A54-설정!$B$16&lt;설정!$B$17+설정!$B$18+설정!$B$19+설정!$B$20,설정!$B$34+(설정!$B$35-설정!$B$34)*(원데이터!A54-설정!$B$16-설정!$B$17-설정!$B$18-설정!$B$19+1)/설정!$B$20,0)))))</f>
        <v/>
      </c>
      <c r="X54" s="12">
        <f>0.108-0.0286*K54+0.0422*LN(설정!$B$5)+0.1434*LN(원데이터!E54)-0.000631*LN(설정!$B$5)^2*LN(원데이터!E54)</f>
        <v/>
      </c>
      <c r="Y54" s="17">
        <f>원데이터!M54</f>
        <v/>
      </c>
      <c r="Z54" s="18">
        <f>X54*Y54</f>
        <v/>
      </c>
      <c r="AA54" s="18">
        <f>U54*W54</f>
        <v/>
      </c>
      <c r="AB54" s="18">
        <f>Z54*W54</f>
        <v/>
      </c>
    </row>
    <row r="55">
      <c r="A55" s="15">
        <f>원데이터!A55</f>
        <v/>
      </c>
      <c r="B55" s="14">
        <f>원데이터!A55-DATE(YEAR(원데이터!A55),1,1)+1</f>
        <v/>
      </c>
      <c r="C55" s="17">
        <f>(원데이터!B55+원데이터!C55)/2</f>
        <v/>
      </c>
      <c r="D55" s="12">
        <f>0.6108*EXP(17.27*원데이터!B55/(원데이터!B55+237.3))</f>
        <v/>
      </c>
      <c r="E55" s="12">
        <f>0.6108*EXP(17.27*원데이터!C55/(원데이터!C55+237.3))</f>
        <v/>
      </c>
      <c r="F55" s="12">
        <f>(D55+E55)/2</f>
        <v/>
      </c>
      <c r="G55" s="12">
        <f>IF(원데이터!H55&lt;&gt;"",원데이터!H55/10,IF(원데이터!I55&lt;&gt;"",0.6108*EXP(17.27*원데이터!I55/(원데이터!I55+237.3)),원데이터!E55/100*F55))</f>
        <v/>
      </c>
      <c r="H55" s="21">
        <f>4098*(0.6108*EXP(17.27*C55/(C55+237.3)))/(C55+237.3)^2</f>
        <v/>
      </c>
      <c r="I55" s="17">
        <f>IF(원데이터!J55&lt;&gt;"",원데이터!J55/10,101.3*((293-0.0065*설정!$B$3)/293)^5.26)</f>
        <v/>
      </c>
      <c r="J55" s="21">
        <f>0.000665*I55</f>
        <v/>
      </c>
      <c r="K55" s="18">
        <f>원데이터!G55*4.87/LN(67.8*설정!$B$4-5.42)</f>
        <v/>
      </c>
      <c r="L55" s="12">
        <f>1+0.033*COS(2*PI()*B55/365)</f>
        <v/>
      </c>
      <c r="M55" s="21">
        <f>0.409*SIN(2*PI()*B55/365-1.39)</f>
        <v/>
      </c>
      <c r="N55" s="21">
        <f>ACOS(-TAN(RADIANS(설정!$B$2))*TAN(M55))</f>
        <v/>
      </c>
      <c r="O55" s="18">
        <f>(24*60/PI())*0.082*L55*(N55*SIN(RADIANS(설정!$B$2))*SIN(M55)+COS(RADIANS(설정!$B$2))*COS(M55)*SIN(N55))</f>
        <v/>
      </c>
      <c r="P55" s="18">
        <f>(0.75+0.00002*설정!$B$3)*O55</f>
        <v/>
      </c>
      <c r="Q55" s="18">
        <f>IF(원데이터!K55&lt;&gt;"",원데이터!K55,(0.25+0.5*원데이터!L55/(24/PI()*N55))*O55)</f>
        <v/>
      </c>
      <c r="R55" s="18">
        <f>0.77*Q55</f>
        <v/>
      </c>
      <c r="S55" s="18">
        <f>0.000000004903*(((원데이터!B55+273.16)^4+(원데이터!C55+273.16)^4)/2)*(0.34-0.14*SQRT(G55))*(1.35*MIN(Q55/P55,1)-0.35)</f>
        <v/>
      </c>
      <c r="T55" s="18">
        <f>R55-S55</f>
        <v/>
      </c>
      <c r="U55" s="18">
        <f>(0.408*H55*T55+J55*(900/(C55+273))*K55*(F55-G55))/(H55+J55*(1+0.34*K55))</f>
        <v/>
      </c>
      <c r="V55" s="11">
        <f>IF(원데이터!A55-설정!$B$16&lt;0,"발아전",IF(원데이터!A55-설정!$B$16&lt;설정!$B$17,"초기",IF(원데이터!A55-설정!$B$16&lt;설정!$B$17+설정!$B$18,"발육",IF(원데이터!A55-설정!$B$16&lt;설정!$B$17+설정!$B$18+설정!$B$19,"중기",IF(원데이터!A55-설정!$B$16&lt;설정!$B$17+설정!$B$18+설정!$B$19+설정!$B$20,"후기","후기이후")))))</f>
        <v/>
      </c>
      <c r="W55" s="12">
        <f>IF(원데이터!A55-설정!$B$16&lt;0,0,IF(원데이터!A55-설정!$B$16&lt;설정!$B$17,설정!$B$33,IF(원데이터!A55-설정!$B$16&lt;설정!$B$17+설정!$B$18,설정!$B$33+(설정!$B$34-설정!$B$33)*(원데이터!A55-설정!$B$16-설정!$B$17+1)/설정!$B$18,IF(원데이터!A55-설정!$B$16&lt;설정!$B$17+설정!$B$18+설정!$B$19,설정!$B$34,IF(원데이터!A55-설정!$B$16&lt;설정!$B$17+설정!$B$18+설정!$B$19+설정!$B$20,설정!$B$34+(설정!$B$35-설정!$B$34)*(원데이터!A55-설정!$B$16-설정!$B$17-설정!$B$18-설정!$B$19+1)/설정!$B$20,0)))))</f>
        <v/>
      </c>
      <c r="X55" s="12">
        <f>0.108-0.0286*K55+0.0422*LN(설정!$B$5)+0.1434*LN(원데이터!E55)-0.000631*LN(설정!$B$5)^2*LN(원데이터!E55)</f>
        <v/>
      </c>
      <c r="Y55" s="17">
        <f>원데이터!M55</f>
        <v/>
      </c>
      <c r="Z55" s="18">
        <f>X55*Y55</f>
        <v/>
      </c>
      <c r="AA55" s="18">
        <f>U55*W55</f>
        <v/>
      </c>
      <c r="AB55" s="18">
        <f>Z55*W55</f>
        <v/>
      </c>
    </row>
    <row r="56">
      <c r="A56" s="15">
        <f>원데이터!A56</f>
        <v/>
      </c>
      <c r="B56" s="14">
        <f>원데이터!A56-DATE(YEAR(원데이터!A56),1,1)+1</f>
        <v/>
      </c>
      <c r="C56" s="17">
        <f>(원데이터!B56+원데이터!C56)/2</f>
        <v/>
      </c>
      <c r="D56" s="12">
        <f>0.6108*EXP(17.27*원데이터!B56/(원데이터!B56+237.3))</f>
        <v/>
      </c>
      <c r="E56" s="12">
        <f>0.6108*EXP(17.27*원데이터!C56/(원데이터!C56+237.3))</f>
        <v/>
      </c>
      <c r="F56" s="12">
        <f>(D56+E56)/2</f>
        <v/>
      </c>
      <c r="G56" s="12">
        <f>IF(원데이터!H56&lt;&gt;"",원데이터!H56/10,IF(원데이터!I56&lt;&gt;"",0.6108*EXP(17.27*원데이터!I56/(원데이터!I56+237.3)),원데이터!E56/100*F56))</f>
        <v/>
      </c>
      <c r="H56" s="21">
        <f>4098*(0.6108*EXP(17.27*C56/(C56+237.3)))/(C56+237.3)^2</f>
        <v/>
      </c>
      <c r="I56" s="17">
        <f>IF(원데이터!J56&lt;&gt;"",원데이터!J56/10,101.3*((293-0.0065*설정!$B$3)/293)^5.26)</f>
        <v/>
      </c>
      <c r="J56" s="21">
        <f>0.000665*I56</f>
        <v/>
      </c>
      <c r="K56" s="18">
        <f>원데이터!G56*4.87/LN(67.8*설정!$B$4-5.42)</f>
        <v/>
      </c>
      <c r="L56" s="12">
        <f>1+0.033*COS(2*PI()*B56/365)</f>
        <v/>
      </c>
      <c r="M56" s="21">
        <f>0.409*SIN(2*PI()*B56/365-1.39)</f>
        <v/>
      </c>
      <c r="N56" s="21">
        <f>ACOS(-TAN(RADIANS(설정!$B$2))*TAN(M56))</f>
        <v/>
      </c>
      <c r="O56" s="18">
        <f>(24*60/PI())*0.082*L56*(N56*SIN(RADIANS(설정!$B$2))*SIN(M56)+COS(RADIANS(설정!$B$2))*COS(M56)*SIN(N56))</f>
        <v/>
      </c>
      <c r="P56" s="18">
        <f>(0.75+0.00002*설정!$B$3)*O56</f>
        <v/>
      </c>
      <c r="Q56" s="18">
        <f>IF(원데이터!K56&lt;&gt;"",원데이터!K56,(0.25+0.5*원데이터!L56/(24/PI()*N56))*O56)</f>
        <v/>
      </c>
      <c r="R56" s="18">
        <f>0.77*Q56</f>
        <v/>
      </c>
      <c r="S56" s="18">
        <f>0.000000004903*(((원데이터!B56+273.16)^4+(원데이터!C56+273.16)^4)/2)*(0.34-0.14*SQRT(G56))*(1.35*MIN(Q56/P56,1)-0.35)</f>
        <v/>
      </c>
      <c r="T56" s="18">
        <f>R56-S56</f>
        <v/>
      </c>
      <c r="U56" s="18">
        <f>(0.408*H56*T56+J56*(900/(C56+273))*K56*(F56-G56))/(H56+J56*(1+0.34*K56))</f>
        <v/>
      </c>
      <c r="V56" s="11">
        <f>IF(원데이터!A56-설정!$B$16&lt;0,"발아전",IF(원데이터!A56-설정!$B$16&lt;설정!$B$17,"초기",IF(원데이터!A56-설정!$B$16&lt;설정!$B$17+설정!$B$18,"발육",IF(원데이터!A56-설정!$B$16&lt;설정!$B$17+설정!$B$18+설정!$B$19,"중기",IF(원데이터!A56-설정!$B$16&lt;설정!$B$17+설정!$B$18+설정!$B$19+설정!$B$20,"후기","후기이후")))))</f>
        <v/>
      </c>
      <c r="W56" s="12">
        <f>IF(원데이터!A56-설정!$B$16&lt;0,0,IF(원데이터!A56-설정!$B$16&lt;설정!$B$17,설정!$B$33,IF(원데이터!A56-설정!$B$16&lt;설정!$B$17+설정!$B$18,설정!$B$33+(설정!$B$34-설정!$B$33)*(원데이터!A56-설정!$B$16-설정!$B$17+1)/설정!$B$18,IF(원데이터!A56-설정!$B$16&lt;설정!$B$17+설정!$B$18+설정!$B$19,설정!$B$34,IF(원데이터!A56-설정!$B$16&lt;설정!$B$17+설정!$B$18+설정!$B$19+설정!$B$20,설정!$B$34+(설정!$B$35-설정!$B$34)*(원데이터!A56-설정!$B$16-설정!$B$17-설정!$B$18-설정!$B$19+1)/설정!$B$20,0)))))</f>
        <v/>
      </c>
      <c r="X56" s="12">
        <f>0.108-0.0286*K56+0.0422*LN(설정!$B$5)+0.1434*LN(원데이터!E56)-0.000631*LN(설정!$B$5)^2*LN(원데이터!E56)</f>
        <v/>
      </c>
      <c r="Y56" s="17">
        <f>원데이터!M56</f>
        <v/>
      </c>
      <c r="Z56" s="18">
        <f>X56*Y56</f>
        <v/>
      </c>
      <c r="AA56" s="18">
        <f>U56*W56</f>
        <v/>
      </c>
      <c r="AB56" s="18">
        <f>Z56*W56</f>
        <v/>
      </c>
    </row>
    <row r="57">
      <c r="A57" s="15">
        <f>원데이터!A57</f>
        <v/>
      </c>
      <c r="B57" s="14">
        <f>원데이터!A57-DATE(YEAR(원데이터!A57),1,1)+1</f>
        <v/>
      </c>
      <c r="C57" s="17">
        <f>(원데이터!B57+원데이터!C57)/2</f>
        <v/>
      </c>
      <c r="D57" s="12">
        <f>0.6108*EXP(17.27*원데이터!B57/(원데이터!B57+237.3))</f>
        <v/>
      </c>
      <c r="E57" s="12">
        <f>0.6108*EXP(17.27*원데이터!C57/(원데이터!C57+237.3))</f>
        <v/>
      </c>
      <c r="F57" s="12">
        <f>(D57+E57)/2</f>
        <v/>
      </c>
      <c r="G57" s="12">
        <f>IF(원데이터!H57&lt;&gt;"",원데이터!H57/10,IF(원데이터!I57&lt;&gt;"",0.6108*EXP(17.27*원데이터!I57/(원데이터!I57+237.3)),원데이터!E57/100*F57))</f>
        <v/>
      </c>
      <c r="H57" s="21">
        <f>4098*(0.6108*EXP(17.27*C57/(C57+237.3)))/(C57+237.3)^2</f>
        <v/>
      </c>
      <c r="I57" s="17">
        <f>IF(원데이터!J57&lt;&gt;"",원데이터!J57/10,101.3*((293-0.0065*설정!$B$3)/293)^5.26)</f>
        <v/>
      </c>
      <c r="J57" s="21">
        <f>0.000665*I57</f>
        <v/>
      </c>
      <c r="K57" s="18">
        <f>원데이터!G57*4.87/LN(67.8*설정!$B$4-5.42)</f>
        <v/>
      </c>
      <c r="L57" s="12">
        <f>1+0.033*COS(2*PI()*B57/365)</f>
        <v/>
      </c>
      <c r="M57" s="21">
        <f>0.409*SIN(2*PI()*B57/365-1.39)</f>
        <v/>
      </c>
      <c r="N57" s="21">
        <f>ACOS(-TAN(RADIANS(설정!$B$2))*TAN(M57))</f>
        <v/>
      </c>
      <c r="O57" s="18">
        <f>(24*60/PI())*0.082*L57*(N57*SIN(RADIANS(설정!$B$2))*SIN(M57)+COS(RADIANS(설정!$B$2))*COS(M57)*SIN(N57))</f>
        <v/>
      </c>
      <c r="P57" s="18">
        <f>(0.75+0.00002*설정!$B$3)*O57</f>
        <v/>
      </c>
      <c r="Q57" s="18">
        <f>IF(원데이터!K57&lt;&gt;"",원데이터!K57,(0.25+0.5*원데이터!L57/(24/PI()*N57))*O57)</f>
        <v/>
      </c>
      <c r="R57" s="18">
        <f>0.77*Q57</f>
        <v/>
      </c>
      <c r="S57" s="18">
        <f>0.000000004903*(((원데이터!B57+273.16)^4+(원데이터!C57+273.16)^4)/2)*(0.34-0.14*SQRT(G57))*(1.35*MIN(Q57/P57,1)-0.35)</f>
        <v/>
      </c>
      <c r="T57" s="18">
        <f>R57-S57</f>
        <v/>
      </c>
      <c r="U57" s="18">
        <f>(0.408*H57*T57+J57*(900/(C57+273))*K57*(F57-G57))/(H57+J57*(1+0.34*K57))</f>
        <v/>
      </c>
      <c r="V57" s="11">
        <f>IF(원데이터!A57-설정!$B$16&lt;0,"발아전",IF(원데이터!A57-설정!$B$16&lt;설정!$B$17,"초기",IF(원데이터!A57-설정!$B$16&lt;설정!$B$17+설정!$B$18,"발육",IF(원데이터!A57-설정!$B$16&lt;설정!$B$17+설정!$B$18+설정!$B$19,"중기",IF(원데이터!A57-설정!$B$16&lt;설정!$B$17+설정!$B$18+설정!$B$19+설정!$B$20,"후기","후기이후")))))</f>
        <v/>
      </c>
      <c r="W57" s="12">
        <f>IF(원데이터!A57-설정!$B$16&lt;0,0,IF(원데이터!A57-설정!$B$16&lt;설정!$B$17,설정!$B$33,IF(원데이터!A57-설정!$B$16&lt;설정!$B$17+설정!$B$18,설정!$B$33+(설정!$B$34-설정!$B$33)*(원데이터!A57-설정!$B$16-설정!$B$17+1)/설정!$B$18,IF(원데이터!A57-설정!$B$16&lt;설정!$B$17+설정!$B$18+설정!$B$19,설정!$B$34,IF(원데이터!A57-설정!$B$16&lt;설정!$B$17+설정!$B$18+설정!$B$19+설정!$B$20,설정!$B$34+(설정!$B$35-설정!$B$34)*(원데이터!A57-설정!$B$16-설정!$B$17-설정!$B$18-설정!$B$19+1)/설정!$B$20,0)))))</f>
        <v/>
      </c>
      <c r="X57" s="12">
        <f>0.108-0.0286*K57+0.0422*LN(설정!$B$5)+0.1434*LN(원데이터!E57)-0.000631*LN(설정!$B$5)^2*LN(원데이터!E57)</f>
        <v/>
      </c>
      <c r="Y57" s="17">
        <f>원데이터!M57</f>
        <v/>
      </c>
      <c r="Z57" s="18">
        <f>X57*Y57</f>
        <v/>
      </c>
      <c r="AA57" s="18">
        <f>U57*W57</f>
        <v/>
      </c>
      <c r="AB57" s="18">
        <f>Z57*W57</f>
        <v/>
      </c>
    </row>
    <row r="58">
      <c r="A58" s="15">
        <f>원데이터!A58</f>
        <v/>
      </c>
      <c r="B58" s="14">
        <f>원데이터!A58-DATE(YEAR(원데이터!A58),1,1)+1</f>
        <v/>
      </c>
      <c r="C58" s="17">
        <f>(원데이터!B58+원데이터!C58)/2</f>
        <v/>
      </c>
      <c r="D58" s="12">
        <f>0.6108*EXP(17.27*원데이터!B58/(원데이터!B58+237.3))</f>
        <v/>
      </c>
      <c r="E58" s="12">
        <f>0.6108*EXP(17.27*원데이터!C58/(원데이터!C58+237.3))</f>
        <v/>
      </c>
      <c r="F58" s="12">
        <f>(D58+E58)/2</f>
        <v/>
      </c>
      <c r="G58" s="12">
        <f>IF(원데이터!H58&lt;&gt;"",원데이터!H58/10,IF(원데이터!I58&lt;&gt;"",0.6108*EXP(17.27*원데이터!I58/(원데이터!I58+237.3)),원데이터!E58/100*F58))</f>
        <v/>
      </c>
      <c r="H58" s="21">
        <f>4098*(0.6108*EXP(17.27*C58/(C58+237.3)))/(C58+237.3)^2</f>
        <v/>
      </c>
      <c r="I58" s="17">
        <f>IF(원데이터!J58&lt;&gt;"",원데이터!J58/10,101.3*((293-0.0065*설정!$B$3)/293)^5.26)</f>
        <v/>
      </c>
      <c r="J58" s="21">
        <f>0.000665*I58</f>
        <v/>
      </c>
      <c r="K58" s="18">
        <f>원데이터!G58*4.87/LN(67.8*설정!$B$4-5.42)</f>
        <v/>
      </c>
      <c r="L58" s="12">
        <f>1+0.033*COS(2*PI()*B58/365)</f>
        <v/>
      </c>
      <c r="M58" s="21">
        <f>0.409*SIN(2*PI()*B58/365-1.39)</f>
        <v/>
      </c>
      <c r="N58" s="21">
        <f>ACOS(-TAN(RADIANS(설정!$B$2))*TAN(M58))</f>
        <v/>
      </c>
      <c r="O58" s="18">
        <f>(24*60/PI())*0.082*L58*(N58*SIN(RADIANS(설정!$B$2))*SIN(M58)+COS(RADIANS(설정!$B$2))*COS(M58)*SIN(N58))</f>
        <v/>
      </c>
      <c r="P58" s="18">
        <f>(0.75+0.00002*설정!$B$3)*O58</f>
        <v/>
      </c>
      <c r="Q58" s="18">
        <f>IF(원데이터!K58&lt;&gt;"",원데이터!K58,(0.25+0.5*원데이터!L58/(24/PI()*N58))*O58)</f>
        <v/>
      </c>
      <c r="R58" s="18">
        <f>0.77*Q58</f>
        <v/>
      </c>
      <c r="S58" s="18">
        <f>0.000000004903*(((원데이터!B58+273.16)^4+(원데이터!C58+273.16)^4)/2)*(0.34-0.14*SQRT(G58))*(1.35*MIN(Q58/P58,1)-0.35)</f>
        <v/>
      </c>
      <c r="T58" s="18">
        <f>R58-S58</f>
        <v/>
      </c>
      <c r="U58" s="18">
        <f>(0.408*H58*T58+J58*(900/(C58+273))*K58*(F58-G58))/(H58+J58*(1+0.34*K58))</f>
        <v/>
      </c>
      <c r="V58" s="11">
        <f>IF(원데이터!A58-설정!$B$16&lt;0,"발아전",IF(원데이터!A58-설정!$B$16&lt;설정!$B$17,"초기",IF(원데이터!A58-설정!$B$16&lt;설정!$B$17+설정!$B$18,"발육",IF(원데이터!A58-설정!$B$16&lt;설정!$B$17+설정!$B$18+설정!$B$19,"중기",IF(원데이터!A58-설정!$B$16&lt;설정!$B$17+설정!$B$18+설정!$B$19+설정!$B$20,"후기","후기이후")))))</f>
        <v/>
      </c>
      <c r="W58" s="12">
        <f>IF(원데이터!A58-설정!$B$16&lt;0,0,IF(원데이터!A58-설정!$B$16&lt;설정!$B$17,설정!$B$33,IF(원데이터!A58-설정!$B$16&lt;설정!$B$17+설정!$B$18,설정!$B$33+(설정!$B$34-설정!$B$33)*(원데이터!A58-설정!$B$16-설정!$B$17+1)/설정!$B$18,IF(원데이터!A58-설정!$B$16&lt;설정!$B$17+설정!$B$18+설정!$B$19,설정!$B$34,IF(원데이터!A58-설정!$B$16&lt;설정!$B$17+설정!$B$18+설정!$B$19+설정!$B$20,설정!$B$34+(설정!$B$35-설정!$B$34)*(원데이터!A58-설정!$B$16-설정!$B$17-설정!$B$18-설정!$B$19+1)/설정!$B$20,0)))))</f>
        <v/>
      </c>
      <c r="X58" s="12">
        <f>0.108-0.0286*K58+0.0422*LN(설정!$B$5)+0.1434*LN(원데이터!E58)-0.000631*LN(설정!$B$5)^2*LN(원데이터!E58)</f>
        <v/>
      </c>
      <c r="Y58" s="17">
        <f>원데이터!M58</f>
        <v/>
      </c>
      <c r="Z58" s="18">
        <f>X58*Y58</f>
        <v/>
      </c>
      <c r="AA58" s="18">
        <f>U58*W58</f>
        <v/>
      </c>
      <c r="AB58" s="18">
        <f>Z58*W58</f>
        <v/>
      </c>
    </row>
    <row r="59">
      <c r="A59" s="15">
        <f>원데이터!A59</f>
        <v/>
      </c>
      <c r="B59" s="14">
        <f>원데이터!A59-DATE(YEAR(원데이터!A59),1,1)+1</f>
        <v/>
      </c>
      <c r="C59" s="17">
        <f>(원데이터!B59+원데이터!C59)/2</f>
        <v/>
      </c>
      <c r="D59" s="12">
        <f>0.6108*EXP(17.27*원데이터!B59/(원데이터!B59+237.3))</f>
        <v/>
      </c>
      <c r="E59" s="12">
        <f>0.6108*EXP(17.27*원데이터!C59/(원데이터!C59+237.3))</f>
        <v/>
      </c>
      <c r="F59" s="12">
        <f>(D59+E59)/2</f>
        <v/>
      </c>
      <c r="G59" s="12">
        <f>IF(원데이터!H59&lt;&gt;"",원데이터!H59/10,IF(원데이터!I59&lt;&gt;"",0.6108*EXP(17.27*원데이터!I59/(원데이터!I59+237.3)),원데이터!E59/100*F59))</f>
        <v/>
      </c>
      <c r="H59" s="21">
        <f>4098*(0.6108*EXP(17.27*C59/(C59+237.3)))/(C59+237.3)^2</f>
        <v/>
      </c>
      <c r="I59" s="17">
        <f>IF(원데이터!J59&lt;&gt;"",원데이터!J59/10,101.3*((293-0.0065*설정!$B$3)/293)^5.26)</f>
        <v/>
      </c>
      <c r="J59" s="21">
        <f>0.000665*I59</f>
        <v/>
      </c>
      <c r="K59" s="18">
        <f>원데이터!G59*4.87/LN(67.8*설정!$B$4-5.42)</f>
        <v/>
      </c>
      <c r="L59" s="12">
        <f>1+0.033*COS(2*PI()*B59/365)</f>
        <v/>
      </c>
      <c r="M59" s="21">
        <f>0.409*SIN(2*PI()*B59/365-1.39)</f>
        <v/>
      </c>
      <c r="N59" s="21">
        <f>ACOS(-TAN(RADIANS(설정!$B$2))*TAN(M59))</f>
        <v/>
      </c>
      <c r="O59" s="18">
        <f>(24*60/PI())*0.082*L59*(N59*SIN(RADIANS(설정!$B$2))*SIN(M59)+COS(RADIANS(설정!$B$2))*COS(M59)*SIN(N59))</f>
        <v/>
      </c>
      <c r="P59" s="18">
        <f>(0.75+0.00002*설정!$B$3)*O59</f>
        <v/>
      </c>
      <c r="Q59" s="18">
        <f>IF(원데이터!K59&lt;&gt;"",원데이터!K59,(0.25+0.5*원데이터!L59/(24/PI()*N59))*O59)</f>
        <v/>
      </c>
      <c r="R59" s="18">
        <f>0.77*Q59</f>
        <v/>
      </c>
      <c r="S59" s="18">
        <f>0.000000004903*(((원데이터!B59+273.16)^4+(원데이터!C59+273.16)^4)/2)*(0.34-0.14*SQRT(G59))*(1.35*MIN(Q59/P59,1)-0.35)</f>
        <v/>
      </c>
      <c r="T59" s="18">
        <f>R59-S59</f>
        <v/>
      </c>
      <c r="U59" s="18">
        <f>(0.408*H59*T59+J59*(900/(C59+273))*K59*(F59-G59))/(H59+J59*(1+0.34*K59))</f>
        <v/>
      </c>
      <c r="V59" s="11">
        <f>IF(원데이터!A59-설정!$B$16&lt;0,"발아전",IF(원데이터!A59-설정!$B$16&lt;설정!$B$17,"초기",IF(원데이터!A59-설정!$B$16&lt;설정!$B$17+설정!$B$18,"발육",IF(원데이터!A59-설정!$B$16&lt;설정!$B$17+설정!$B$18+설정!$B$19,"중기",IF(원데이터!A59-설정!$B$16&lt;설정!$B$17+설정!$B$18+설정!$B$19+설정!$B$20,"후기","후기이후")))))</f>
        <v/>
      </c>
      <c r="W59" s="12">
        <f>IF(원데이터!A59-설정!$B$16&lt;0,0,IF(원데이터!A59-설정!$B$16&lt;설정!$B$17,설정!$B$33,IF(원데이터!A59-설정!$B$16&lt;설정!$B$17+설정!$B$18,설정!$B$33+(설정!$B$34-설정!$B$33)*(원데이터!A59-설정!$B$16-설정!$B$17+1)/설정!$B$18,IF(원데이터!A59-설정!$B$16&lt;설정!$B$17+설정!$B$18+설정!$B$19,설정!$B$34,IF(원데이터!A59-설정!$B$16&lt;설정!$B$17+설정!$B$18+설정!$B$19+설정!$B$20,설정!$B$34+(설정!$B$35-설정!$B$34)*(원데이터!A59-설정!$B$16-설정!$B$17-설정!$B$18-설정!$B$19+1)/설정!$B$20,0)))))</f>
        <v/>
      </c>
      <c r="X59" s="12">
        <f>0.108-0.0286*K59+0.0422*LN(설정!$B$5)+0.1434*LN(원데이터!E59)-0.000631*LN(설정!$B$5)^2*LN(원데이터!E59)</f>
        <v/>
      </c>
      <c r="Y59" s="17">
        <f>원데이터!M59</f>
        <v/>
      </c>
      <c r="Z59" s="18">
        <f>X59*Y59</f>
        <v/>
      </c>
      <c r="AA59" s="18">
        <f>U59*W59</f>
        <v/>
      </c>
      <c r="AB59" s="18">
        <f>Z59*W59</f>
        <v/>
      </c>
    </row>
    <row r="60">
      <c r="A60" s="15">
        <f>원데이터!A60</f>
        <v/>
      </c>
      <c r="B60" s="14">
        <f>원데이터!A60-DATE(YEAR(원데이터!A60),1,1)+1</f>
        <v/>
      </c>
      <c r="C60" s="17">
        <f>(원데이터!B60+원데이터!C60)/2</f>
        <v/>
      </c>
      <c r="D60" s="12">
        <f>0.6108*EXP(17.27*원데이터!B60/(원데이터!B60+237.3))</f>
        <v/>
      </c>
      <c r="E60" s="12">
        <f>0.6108*EXP(17.27*원데이터!C60/(원데이터!C60+237.3))</f>
        <v/>
      </c>
      <c r="F60" s="12">
        <f>(D60+E60)/2</f>
        <v/>
      </c>
      <c r="G60" s="12">
        <f>IF(원데이터!H60&lt;&gt;"",원데이터!H60/10,IF(원데이터!I60&lt;&gt;"",0.6108*EXP(17.27*원데이터!I60/(원데이터!I60+237.3)),원데이터!E60/100*F60))</f>
        <v/>
      </c>
      <c r="H60" s="21">
        <f>4098*(0.6108*EXP(17.27*C60/(C60+237.3)))/(C60+237.3)^2</f>
        <v/>
      </c>
      <c r="I60" s="17">
        <f>IF(원데이터!J60&lt;&gt;"",원데이터!J60/10,101.3*((293-0.0065*설정!$B$3)/293)^5.26)</f>
        <v/>
      </c>
      <c r="J60" s="21">
        <f>0.000665*I60</f>
        <v/>
      </c>
      <c r="K60" s="18">
        <f>원데이터!G60*4.87/LN(67.8*설정!$B$4-5.42)</f>
        <v/>
      </c>
      <c r="L60" s="12">
        <f>1+0.033*COS(2*PI()*B60/365)</f>
        <v/>
      </c>
      <c r="M60" s="21">
        <f>0.409*SIN(2*PI()*B60/365-1.39)</f>
        <v/>
      </c>
      <c r="N60" s="21">
        <f>ACOS(-TAN(RADIANS(설정!$B$2))*TAN(M60))</f>
        <v/>
      </c>
      <c r="O60" s="18">
        <f>(24*60/PI())*0.082*L60*(N60*SIN(RADIANS(설정!$B$2))*SIN(M60)+COS(RADIANS(설정!$B$2))*COS(M60)*SIN(N60))</f>
        <v/>
      </c>
      <c r="P60" s="18">
        <f>(0.75+0.00002*설정!$B$3)*O60</f>
        <v/>
      </c>
      <c r="Q60" s="18">
        <f>IF(원데이터!K60&lt;&gt;"",원데이터!K60,(0.25+0.5*원데이터!L60/(24/PI()*N60))*O60)</f>
        <v/>
      </c>
      <c r="R60" s="18">
        <f>0.77*Q60</f>
        <v/>
      </c>
      <c r="S60" s="18">
        <f>0.000000004903*(((원데이터!B60+273.16)^4+(원데이터!C60+273.16)^4)/2)*(0.34-0.14*SQRT(G60))*(1.35*MIN(Q60/P60,1)-0.35)</f>
        <v/>
      </c>
      <c r="T60" s="18">
        <f>R60-S60</f>
        <v/>
      </c>
      <c r="U60" s="18">
        <f>(0.408*H60*T60+J60*(900/(C60+273))*K60*(F60-G60))/(H60+J60*(1+0.34*K60))</f>
        <v/>
      </c>
      <c r="V60" s="11">
        <f>IF(원데이터!A60-설정!$B$16&lt;0,"발아전",IF(원데이터!A60-설정!$B$16&lt;설정!$B$17,"초기",IF(원데이터!A60-설정!$B$16&lt;설정!$B$17+설정!$B$18,"발육",IF(원데이터!A60-설정!$B$16&lt;설정!$B$17+설정!$B$18+설정!$B$19,"중기",IF(원데이터!A60-설정!$B$16&lt;설정!$B$17+설정!$B$18+설정!$B$19+설정!$B$20,"후기","후기이후")))))</f>
        <v/>
      </c>
      <c r="W60" s="12">
        <f>IF(원데이터!A60-설정!$B$16&lt;0,0,IF(원데이터!A60-설정!$B$16&lt;설정!$B$17,설정!$B$33,IF(원데이터!A60-설정!$B$16&lt;설정!$B$17+설정!$B$18,설정!$B$33+(설정!$B$34-설정!$B$33)*(원데이터!A60-설정!$B$16-설정!$B$17+1)/설정!$B$18,IF(원데이터!A60-설정!$B$16&lt;설정!$B$17+설정!$B$18+설정!$B$19,설정!$B$34,IF(원데이터!A60-설정!$B$16&lt;설정!$B$17+설정!$B$18+설정!$B$19+설정!$B$20,설정!$B$34+(설정!$B$35-설정!$B$34)*(원데이터!A60-설정!$B$16-설정!$B$17-설정!$B$18-설정!$B$19+1)/설정!$B$20,0)))))</f>
        <v/>
      </c>
      <c r="X60" s="12">
        <f>0.108-0.0286*K60+0.0422*LN(설정!$B$5)+0.1434*LN(원데이터!E60)-0.000631*LN(설정!$B$5)^2*LN(원데이터!E60)</f>
        <v/>
      </c>
      <c r="Y60" s="17">
        <f>원데이터!M60</f>
        <v/>
      </c>
      <c r="Z60" s="18">
        <f>X60*Y60</f>
        <v/>
      </c>
      <c r="AA60" s="18">
        <f>U60*W60</f>
        <v/>
      </c>
      <c r="AB60" s="18">
        <f>Z60*W60</f>
        <v/>
      </c>
    </row>
    <row r="61">
      <c r="A61" s="15">
        <f>원데이터!A61</f>
        <v/>
      </c>
      <c r="B61" s="14">
        <f>원데이터!A61-DATE(YEAR(원데이터!A61),1,1)+1</f>
        <v/>
      </c>
      <c r="C61" s="17">
        <f>(원데이터!B61+원데이터!C61)/2</f>
        <v/>
      </c>
      <c r="D61" s="12">
        <f>0.6108*EXP(17.27*원데이터!B61/(원데이터!B61+237.3))</f>
        <v/>
      </c>
      <c r="E61" s="12">
        <f>0.6108*EXP(17.27*원데이터!C61/(원데이터!C61+237.3))</f>
        <v/>
      </c>
      <c r="F61" s="12">
        <f>(D61+E61)/2</f>
        <v/>
      </c>
      <c r="G61" s="12">
        <f>IF(원데이터!H61&lt;&gt;"",원데이터!H61/10,IF(원데이터!I61&lt;&gt;"",0.6108*EXP(17.27*원데이터!I61/(원데이터!I61+237.3)),원데이터!E61/100*F61))</f>
        <v/>
      </c>
      <c r="H61" s="21">
        <f>4098*(0.6108*EXP(17.27*C61/(C61+237.3)))/(C61+237.3)^2</f>
        <v/>
      </c>
      <c r="I61" s="17">
        <f>IF(원데이터!J61&lt;&gt;"",원데이터!J61/10,101.3*((293-0.0065*설정!$B$3)/293)^5.26)</f>
        <v/>
      </c>
      <c r="J61" s="21">
        <f>0.000665*I61</f>
        <v/>
      </c>
      <c r="K61" s="18">
        <f>원데이터!G61*4.87/LN(67.8*설정!$B$4-5.42)</f>
        <v/>
      </c>
      <c r="L61" s="12">
        <f>1+0.033*COS(2*PI()*B61/365)</f>
        <v/>
      </c>
      <c r="M61" s="21">
        <f>0.409*SIN(2*PI()*B61/365-1.39)</f>
        <v/>
      </c>
      <c r="N61" s="21">
        <f>ACOS(-TAN(RADIANS(설정!$B$2))*TAN(M61))</f>
        <v/>
      </c>
      <c r="O61" s="18">
        <f>(24*60/PI())*0.082*L61*(N61*SIN(RADIANS(설정!$B$2))*SIN(M61)+COS(RADIANS(설정!$B$2))*COS(M61)*SIN(N61))</f>
        <v/>
      </c>
      <c r="P61" s="18">
        <f>(0.75+0.00002*설정!$B$3)*O61</f>
        <v/>
      </c>
      <c r="Q61" s="18">
        <f>IF(원데이터!K61&lt;&gt;"",원데이터!K61,(0.25+0.5*원데이터!L61/(24/PI()*N61))*O61)</f>
        <v/>
      </c>
      <c r="R61" s="18">
        <f>0.77*Q61</f>
        <v/>
      </c>
      <c r="S61" s="18">
        <f>0.000000004903*(((원데이터!B61+273.16)^4+(원데이터!C61+273.16)^4)/2)*(0.34-0.14*SQRT(G61))*(1.35*MIN(Q61/P61,1)-0.35)</f>
        <v/>
      </c>
      <c r="T61" s="18">
        <f>R61-S61</f>
        <v/>
      </c>
      <c r="U61" s="18">
        <f>(0.408*H61*T61+J61*(900/(C61+273))*K61*(F61-G61))/(H61+J61*(1+0.34*K61))</f>
        <v/>
      </c>
      <c r="V61" s="11">
        <f>IF(원데이터!A61-설정!$B$16&lt;0,"발아전",IF(원데이터!A61-설정!$B$16&lt;설정!$B$17,"초기",IF(원데이터!A61-설정!$B$16&lt;설정!$B$17+설정!$B$18,"발육",IF(원데이터!A61-설정!$B$16&lt;설정!$B$17+설정!$B$18+설정!$B$19,"중기",IF(원데이터!A61-설정!$B$16&lt;설정!$B$17+설정!$B$18+설정!$B$19+설정!$B$20,"후기","후기이후")))))</f>
        <v/>
      </c>
      <c r="W61" s="12">
        <f>IF(원데이터!A61-설정!$B$16&lt;0,0,IF(원데이터!A61-설정!$B$16&lt;설정!$B$17,설정!$B$33,IF(원데이터!A61-설정!$B$16&lt;설정!$B$17+설정!$B$18,설정!$B$33+(설정!$B$34-설정!$B$33)*(원데이터!A61-설정!$B$16-설정!$B$17+1)/설정!$B$18,IF(원데이터!A61-설정!$B$16&lt;설정!$B$17+설정!$B$18+설정!$B$19,설정!$B$34,IF(원데이터!A61-설정!$B$16&lt;설정!$B$17+설정!$B$18+설정!$B$19+설정!$B$20,설정!$B$34+(설정!$B$35-설정!$B$34)*(원데이터!A61-설정!$B$16-설정!$B$17-설정!$B$18-설정!$B$19+1)/설정!$B$20,0)))))</f>
        <v/>
      </c>
      <c r="X61" s="12">
        <f>0.108-0.0286*K61+0.0422*LN(설정!$B$5)+0.1434*LN(원데이터!E61)-0.000631*LN(설정!$B$5)^2*LN(원데이터!E61)</f>
        <v/>
      </c>
      <c r="Y61" s="17">
        <f>원데이터!M61</f>
        <v/>
      </c>
      <c r="Z61" s="18">
        <f>X61*Y61</f>
        <v/>
      </c>
      <c r="AA61" s="18">
        <f>U61*W61</f>
        <v/>
      </c>
      <c r="AB61" s="18">
        <f>Z61*W61</f>
        <v/>
      </c>
    </row>
    <row r="62">
      <c r="A62" s="15">
        <f>원데이터!A62</f>
        <v/>
      </c>
      <c r="B62" s="14">
        <f>원데이터!A62-DATE(YEAR(원데이터!A62),1,1)+1</f>
        <v/>
      </c>
      <c r="C62" s="17">
        <f>(원데이터!B62+원데이터!C62)/2</f>
        <v/>
      </c>
      <c r="D62" s="12">
        <f>0.6108*EXP(17.27*원데이터!B62/(원데이터!B62+237.3))</f>
        <v/>
      </c>
      <c r="E62" s="12">
        <f>0.6108*EXP(17.27*원데이터!C62/(원데이터!C62+237.3))</f>
        <v/>
      </c>
      <c r="F62" s="12">
        <f>(D62+E62)/2</f>
        <v/>
      </c>
      <c r="G62" s="12">
        <f>IF(원데이터!H62&lt;&gt;"",원데이터!H62/10,IF(원데이터!I62&lt;&gt;"",0.6108*EXP(17.27*원데이터!I62/(원데이터!I62+237.3)),원데이터!E62/100*F62))</f>
        <v/>
      </c>
      <c r="H62" s="21">
        <f>4098*(0.6108*EXP(17.27*C62/(C62+237.3)))/(C62+237.3)^2</f>
        <v/>
      </c>
      <c r="I62" s="17">
        <f>IF(원데이터!J62&lt;&gt;"",원데이터!J62/10,101.3*((293-0.0065*설정!$B$3)/293)^5.26)</f>
        <v/>
      </c>
      <c r="J62" s="21">
        <f>0.000665*I62</f>
        <v/>
      </c>
      <c r="K62" s="18">
        <f>원데이터!G62*4.87/LN(67.8*설정!$B$4-5.42)</f>
        <v/>
      </c>
      <c r="L62" s="12">
        <f>1+0.033*COS(2*PI()*B62/365)</f>
        <v/>
      </c>
      <c r="M62" s="21">
        <f>0.409*SIN(2*PI()*B62/365-1.39)</f>
        <v/>
      </c>
      <c r="N62" s="21">
        <f>ACOS(-TAN(RADIANS(설정!$B$2))*TAN(M62))</f>
        <v/>
      </c>
      <c r="O62" s="18">
        <f>(24*60/PI())*0.082*L62*(N62*SIN(RADIANS(설정!$B$2))*SIN(M62)+COS(RADIANS(설정!$B$2))*COS(M62)*SIN(N62))</f>
        <v/>
      </c>
      <c r="P62" s="18">
        <f>(0.75+0.00002*설정!$B$3)*O62</f>
        <v/>
      </c>
      <c r="Q62" s="18">
        <f>IF(원데이터!K62&lt;&gt;"",원데이터!K62,(0.25+0.5*원데이터!L62/(24/PI()*N62))*O62)</f>
        <v/>
      </c>
      <c r="R62" s="18">
        <f>0.77*Q62</f>
        <v/>
      </c>
      <c r="S62" s="18">
        <f>0.000000004903*(((원데이터!B62+273.16)^4+(원데이터!C62+273.16)^4)/2)*(0.34-0.14*SQRT(G62))*(1.35*MIN(Q62/P62,1)-0.35)</f>
        <v/>
      </c>
      <c r="T62" s="18">
        <f>R62-S62</f>
        <v/>
      </c>
      <c r="U62" s="18">
        <f>(0.408*H62*T62+J62*(900/(C62+273))*K62*(F62-G62))/(H62+J62*(1+0.34*K62))</f>
        <v/>
      </c>
      <c r="V62" s="11">
        <f>IF(원데이터!A62-설정!$B$16&lt;0,"발아전",IF(원데이터!A62-설정!$B$16&lt;설정!$B$17,"초기",IF(원데이터!A62-설정!$B$16&lt;설정!$B$17+설정!$B$18,"발육",IF(원데이터!A62-설정!$B$16&lt;설정!$B$17+설정!$B$18+설정!$B$19,"중기",IF(원데이터!A62-설정!$B$16&lt;설정!$B$17+설정!$B$18+설정!$B$19+설정!$B$20,"후기","후기이후")))))</f>
        <v/>
      </c>
      <c r="W62" s="12">
        <f>IF(원데이터!A62-설정!$B$16&lt;0,0,IF(원데이터!A62-설정!$B$16&lt;설정!$B$17,설정!$B$33,IF(원데이터!A62-설정!$B$16&lt;설정!$B$17+설정!$B$18,설정!$B$33+(설정!$B$34-설정!$B$33)*(원데이터!A62-설정!$B$16-설정!$B$17+1)/설정!$B$18,IF(원데이터!A62-설정!$B$16&lt;설정!$B$17+설정!$B$18+설정!$B$19,설정!$B$34,IF(원데이터!A62-설정!$B$16&lt;설정!$B$17+설정!$B$18+설정!$B$19+설정!$B$20,설정!$B$34+(설정!$B$35-설정!$B$34)*(원데이터!A62-설정!$B$16-설정!$B$17-설정!$B$18-설정!$B$19+1)/설정!$B$20,0)))))</f>
        <v/>
      </c>
      <c r="X62" s="12">
        <f>0.108-0.0286*K62+0.0422*LN(설정!$B$5)+0.1434*LN(원데이터!E62)-0.000631*LN(설정!$B$5)^2*LN(원데이터!E62)</f>
        <v/>
      </c>
      <c r="Y62" s="17">
        <f>원데이터!M62</f>
        <v/>
      </c>
      <c r="Z62" s="18">
        <f>X62*Y62</f>
        <v/>
      </c>
      <c r="AA62" s="18">
        <f>U62*W62</f>
        <v/>
      </c>
      <c r="AB62" s="18">
        <f>Z62*W62</f>
        <v/>
      </c>
    </row>
    <row r="63">
      <c r="A63" s="15">
        <f>원데이터!A63</f>
        <v/>
      </c>
      <c r="B63" s="14">
        <f>원데이터!A63-DATE(YEAR(원데이터!A63),1,1)+1</f>
        <v/>
      </c>
      <c r="C63" s="17">
        <f>(원데이터!B63+원데이터!C63)/2</f>
        <v/>
      </c>
      <c r="D63" s="12">
        <f>0.6108*EXP(17.27*원데이터!B63/(원데이터!B63+237.3))</f>
        <v/>
      </c>
      <c r="E63" s="12">
        <f>0.6108*EXP(17.27*원데이터!C63/(원데이터!C63+237.3))</f>
        <v/>
      </c>
      <c r="F63" s="12">
        <f>(D63+E63)/2</f>
        <v/>
      </c>
      <c r="G63" s="12">
        <f>IF(원데이터!H63&lt;&gt;"",원데이터!H63/10,IF(원데이터!I63&lt;&gt;"",0.6108*EXP(17.27*원데이터!I63/(원데이터!I63+237.3)),원데이터!E63/100*F63))</f>
        <v/>
      </c>
      <c r="H63" s="21">
        <f>4098*(0.6108*EXP(17.27*C63/(C63+237.3)))/(C63+237.3)^2</f>
        <v/>
      </c>
      <c r="I63" s="17">
        <f>IF(원데이터!J63&lt;&gt;"",원데이터!J63/10,101.3*((293-0.0065*설정!$B$3)/293)^5.26)</f>
        <v/>
      </c>
      <c r="J63" s="21">
        <f>0.000665*I63</f>
        <v/>
      </c>
      <c r="K63" s="18">
        <f>원데이터!G63*4.87/LN(67.8*설정!$B$4-5.42)</f>
        <v/>
      </c>
      <c r="L63" s="12">
        <f>1+0.033*COS(2*PI()*B63/365)</f>
        <v/>
      </c>
      <c r="M63" s="21">
        <f>0.409*SIN(2*PI()*B63/365-1.39)</f>
        <v/>
      </c>
      <c r="N63" s="21">
        <f>ACOS(-TAN(RADIANS(설정!$B$2))*TAN(M63))</f>
        <v/>
      </c>
      <c r="O63" s="18">
        <f>(24*60/PI())*0.082*L63*(N63*SIN(RADIANS(설정!$B$2))*SIN(M63)+COS(RADIANS(설정!$B$2))*COS(M63)*SIN(N63))</f>
        <v/>
      </c>
      <c r="P63" s="18">
        <f>(0.75+0.00002*설정!$B$3)*O63</f>
        <v/>
      </c>
      <c r="Q63" s="18">
        <f>IF(원데이터!K63&lt;&gt;"",원데이터!K63,(0.25+0.5*원데이터!L63/(24/PI()*N63))*O63)</f>
        <v/>
      </c>
      <c r="R63" s="18">
        <f>0.77*Q63</f>
        <v/>
      </c>
      <c r="S63" s="18">
        <f>0.000000004903*(((원데이터!B63+273.16)^4+(원데이터!C63+273.16)^4)/2)*(0.34-0.14*SQRT(G63))*(1.35*MIN(Q63/P63,1)-0.35)</f>
        <v/>
      </c>
      <c r="T63" s="18">
        <f>R63-S63</f>
        <v/>
      </c>
      <c r="U63" s="18">
        <f>(0.408*H63*T63+J63*(900/(C63+273))*K63*(F63-G63))/(H63+J63*(1+0.34*K63))</f>
        <v/>
      </c>
      <c r="V63" s="11">
        <f>IF(원데이터!A63-설정!$B$16&lt;0,"발아전",IF(원데이터!A63-설정!$B$16&lt;설정!$B$17,"초기",IF(원데이터!A63-설정!$B$16&lt;설정!$B$17+설정!$B$18,"발육",IF(원데이터!A63-설정!$B$16&lt;설정!$B$17+설정!$B$18+설정!$B$19,"중기",IF(원데이터!A63-설정!$B$16&lt;설정!$B$17+설정!$B$18+설정!$B$19+설정!$B$20,"후기","후기이후")))))</f>
        <v/>
      </c>
      <c r="W63" s="12">
        <f>IF(원데이터!A63-설정!$B$16&lt;0,0,IF(원데이터!A63-설정!$B$16&lt;설정!$B$17,설정!$B$33,IF(원데이터!A63-설정!$B$16&lt;설정!$B$17+설정!$B$18,설정!$B$33+(설정!$B$34-설정!$B$33)*(원데이터!A63-설정!$B$16-설정!$B$17+1)/설정!$B$18,IF(원데이터!A63-설정!$B$16&lt;설정!$B$17+설정!$B$18+설정!$B$19,설정!$B$34,IF(원데이터!A63-설정!$B$16&lt;설정!$B$17+설정!$B$18+설정!$B$19+설정!$B$20,설정!$B$34+(설정!$B$35-설정!$B$34)*(원데이터!A63-설정!$B$16-설정!$B$17-설정!$B$18-설정!$B$19+1)/설정!$B$20,0)))))</f>
        <v/>
      </c>
      <c r="X63" s="12">
        <f>0.108-0.0286*K63+0.0422*LN(설정!$B$5)+0.1434*LN(원데이터!E63)-0.000631*LN(설정!$B$5)^2*LN(원데이터!E63)</f>
        <v/>
      </c>
      <c r="Y63" s="17">
        <f>원데이터!M63</f>
        <v/>
      </c>
      <c r="Z63" s="18">
        <f>X63*Y63</f>
        <v/>
      </c>
      <c r="AA63" s="18">
        <f>U63*W63</f>
        <v/>
      </c>
      <c r="AB63" s="18">
        <f>Z63*W63</f>
        <v/>
      </c>
    </row>
    <row r="64">
      <c r="A64" s="15">
        <f>원데이터!A64</f>
        <v/>
      </c>
      <c r="B64" s="14">
        <f>원데이터!A64-DATE(YEAR(원데이터!A64),1,1)+1</f>
        <v/>
      </c>
      <c r="C64" s="17">
        <f>(원데이터!B64+원데이터!C64)/2</f>
        <v/>
      </c>
      <c r="D64" s="12">
        <f>0.6108*EXP(17.27*원데이터!B64/(원데이터!B64+237.3))</f>
        <v/>
      </c>
      <c r="E64" s="12">
        <f>0.6108*EXP(17.27*원데이터!C64/(원데이터!C64+237.3))</f>
        <v/>
      </c>
      <c r="F64" s="12">
        <f>(D64+E64)/2</f>
        <v/>
      </c>
      <c r="G64" s="12">
        <f>IF(원데이터!H64&lt;&gt;"",원데이터!H64/10,IF(원데이터!I64&lt;&gt;"",0.6108*EXP(17.27*원데이터!I64/(원데이터!I64+237.3)),원데이터!E64/100*F64))</f>
        <v/>
      </c>
      <c r="H64" s="21">
        <f>4098*(0.6108*EXP(17.27*C64/(C64+237.3)))/(C64+237.3)^2</f>
        <v/>
      </c>
      <c r="I64" s="17">
        <f>IF(원데이터!J64&lt;&gt;"",원데이터!J64/10,101.3*((293-0.0065*설정!$B$3)/293)^5.26)</f>
        <v/>
      </c>
      <c r="J64" s="21">
        <f>0.000665*I64</f>
        <v/>
      </c>
      <c r="K64" s="18">
        <f>원데이터!G64*4.87/LN(67.8*설정!$B$4-5.42)</f>
        <v/>
      </c>
      <c r="L64" s="12">
        <f>1+0.033*COS(2*PI()*B64/365)</f>
        <v/>
      </c>
      <c r="M64" s="21">
        <f>0.409*SIN(2*PI()*B64/365-1.39)</f>
        <v/>
      </c>
      <c r="N64" s="21">
        <f>ACOS(-TAN(RADIANS(설정!$B$2))*TAN(M64))</f>
        <v/>
      </c>
      <c r="O64" s="18">
        <f>(24*60/PI())*0.082*L64*(N64*SIN(RADIANS(설정!$B$2))*SIN(M64)+COS(RADIANS(설정!$B$2))*COS(M64)*SIN(N64))</f>
        <v/>
      </c>
      <c r="P64" s="18">
        <f>(0.75+0.00002*설정!$B$3)*O64</f>
        <v/>
      </c>
      <c r="Q64" s="18">
        <f>IF(원데이터!K64&lt;&gt;"",원데이터!K64,(0.25+0.5*원데이터!L64/(24/PI()*N64))*O64)</f>
        <v/>
      </c>
      <c r="R64" s="18">
        <f>0.77*Q64</f>
        <v/>
      </c>
      <c r="S64" s="18">
        <f>0.000000004903*(((원데이터!B64+273.16)^4+(원데이터!C64+273.16)^4)/2)*(0.34-0.14*SQRT(G64))*(1.35*MIN(Q64/P64,1)-0.35)</f>
        <v/>
      </c>
      <c r="T64" s="18">
        <f>R64-S64</f>
        <v/>
      </c>
      <c r="U64" s="18">
        <f>(0.408*H64*T64+J64*(900/(C64+273))*K64*(F64-G64))/(H64+J64*(1+0.34*K64))</f>
        <v/>
      </c>
      <c r="V64" s="11">
        <f>IF(원데이터!A64-설정!$B$16&lt;0,"발아전",IF(원데이터!A64-설정!$B$16&lt;설정!$B$17,"초기",IF(원데이터!A64-설정!$B$16&lt;설정!$B$17+설정!$B$18,"발육",IF(원데이터!A64-설정!$B$16&lt;설정!$B$17+설정!$B$18+설정!$B$19,"중기",IF(원데이터!A64-설정!$B$16&lt;설정!$B$17+설정!$B$18+설정!$B$19+설정!$B$20,"후기","후기이후")))))</f>
        <v/>
      </c>
      <c r="W64" s="12">
        <f>IF(원데이터!A64-설정!$B$16&lt;0,0,IF(원데이터!A64-설정!$B$16&lt;설정!$B$17,설정!$B$33,IF(원데이터!A64-설정!$B$16&lt;설정!$B$17+설정!$B$18,설정!$B$33+(설정!$B$34-설정!$B$33)*(원데이터!A64-설정!$B$16-설정!$B$17+1)/설정!$B$18,IF(원데이터!A64-설정!$B$16&lt;설정!$B$17+설정!$B$18+설정!$B$19,설정!$B$34,IF(원데이터!A64-설정!$B$16&lt;설정!$B$17+설정!$B$18+설정!$B$19+설정!$B$20,설정!$B$34+(설정!$B$35-설정!$B$34)*(원데이터!A64-설정!$B$16-설정!$B$17-설정!$B$18-설정!$B$19+1)/설정!$B$20,0)))))</f>
        <v/>
      </c>
      <c r="X64" s="12">
        <f>0.108-0.0286*K64+0.0422*LN(설정!$B$5)+0.1434*LN(원데이터!E64)-0.000631*LN(설정!$B$5)^2*LN(원데이터!E64)</f>
        <v/>
      </c>
      <c r="Y64" s="17">
        <f>원데이터!M64</f>
        <v/>
      </c>
      <c r="Z64" s="18">
        <f>X64*Y64</f>
        <v/>
      </c>
      <c r="AA64" s="18">
        <f>U64*W64</f>
        <v/>
      </c>
      <c r="AB64" s="18">
        <f>Z64*W64</f>
        <v/>
      </c>
    </row>
    <row r="65">
      <c r="A65" s="15">
        <f>원데이터!A65</f>
        <v/>
      </c>
      <c r="B65" s="14">
        <f>원데이터!A65-DATE(YEAR(원데이터!A65),1,1)+1</f>
        <v/>
      </c>
      <c r="C65" s="17">
        <f>(원데이터!B65+원데이터!C65)/2</f>
        <v/>
      </c>
      <c r="D65" s="12">
        <f>0.6108*EXP(17.27*원데이터!B65/(원데이터!B65+237.3))</f>
        <v/>
      </c>
      <c r="E65" s="12">
        <f>0.6108*EXP(17.27*원데이터!C65/(원데이터!C65+237.3))</f>
        <v/>
      </c>
      <c r="F65" s="12">
        <f>(D65+E65)/2</f>
        <v/>
      </c>
      <c r="G65" s="12">
        <f>IF(원데이터!H65&lt;&gt;"",원데이터!H65/10,IF(원데이터!I65&lt;&gt;"",0.6108*EXP(17.27*원데이터!I65/(원데이터!I65+237.3)),원데이터!E65/100*F65))</f>
        <v/>
      </c>
      <c r="H65" s="21">
        <f>4098*(0.6108*EXP(17.27*C65/(C65+237.3)))/(C65+237.3)^2</f>
        <v/>
      </c>
      <c r="I65" s="17">
        <f>IF(원데이터!J65&lt;&gt;"",원데이터!J65/10,101.3*((293-0.0065*설정!$B$3)/293)^5.26)</f>
        <v/>
      </c>
      <c r="J65" s="21">
        <f>0.000665*I65</f>
        <v/>
      </c>
      <c r="K65" s="18">
        <f>원데이터!G65*4.87/LN(67.8*설정!$B$4-5.42)</f>
        <v/>
      </c>
      <c r="L65" s="12">
        <f>1+0.033*COS(2*PI()*B65/365)</f>
        <v/>
      </c>
      <c r="M65" s="21">
        <f>0.409*SIN(2*PI()*B65/365-1.39)</f>
        <v/>
      </c>
      <c r="N65" s="21">
        <f>ACOS(-TAN(RADIANS(설정!$B$2))*TAN(M65))</f>
        <v/>
      </c>
      <c r="O65" s="18">
        <f>(24*60/PI())*0.082*L65*(N65*SIN(RADIANS(설정!$B$2))*SIN(M65)+COS(RADIANS(설정!$B$2))*COS(M65)*SIN(N65))</f>
        <v/>
      </c>
      <c r="P65" s="18">
        <f>(0.75+0.00002*설정!$B$3)*O65</f>
        <v/>
      </c>
      <c r="Q65" s="18">
        <f>IF(원데이터!K65&lt;&gt;"",원데이터!K65,(0.25+0.5*원데이터!L65/(24/PI()*N65))*O65)</f>
        <v/>
      </c>
      <c r="R65" s="18">
        <f>0.77*Q65</f>
        <v/>
      </c>
      <c r="S65" s="18">
        <f>0.000000004903*(((원데이터!B65+273.16)^4+(원데이터!C65+273.16)^4)/2)*(0.34-0.14*SQRT(G65))*(1.35*MIN(Q65/P65,1)-0.35)</f>
        <v/>
      </c>
      <c r="T65" s="18">
        <f>R65-S65</f>
        <v/>
      </c>
      <c r="U65" s="18">
        <f>(0.408*H65*T65+J65*(900/(C65+273))*K65*(F65-G65))/(H65+J65*(1+0.34*K65))</f>
        <v/>
      </c>
      <c r="V65" s="11">
        <f>IF(원데이터!A65-설정!$B$16&lt;0,"발아전",IF(원데이터!A65-설정!$B$16&lt;설정!$B$17,"초기",IF(원데이터!A65-설정!$B$16&lt;설정!$B$17+설정!$B$18,"발육",IF(원데이터!A65-설정!$B$16&lt;설정!$B$17+설정!$B$18+설정!$B$19,"중기",IF(원데이터!A65-설정!$B$16&lt;설정!$B$17+설정!$B$18+설정!$B$19+설정!$B$20,"후기","후기이후")))))</f>
        <v/>
      </c>
      <c r="W65" s="12">
        <f>IF(원데이터!A65-설정!$B$16&lt;0,0,IF(원데이터!A65-설정!$B$16&lt;설정!$B$17,설정!$B$33,IF(원데이터!A65-설정!$B$16&lt;설정!$B$17+설정!$B$18,설정!$B$33+(설정!$B$34-설정!$B$33)*(원데이터!A65-설정!$B$16-설정!$B$17+1)/설정!$B$18,IF(원데이터!A65-설정!$B$16&lt;설정!$B$17+설정!$B$18+설정!$B$19,설정!$B$34,IF(원데이터!A65-설정!$B$16&lt;설정!$B$17+설정!$B$18+설정!$B$19+설정!$B$20,설정!$B$34+(설정!$B$35-설정!$B$34)*(원데이터!A65-설정!$B$16-설정!$B$17-설정!$B$18-설정!$B$19+1)/설정!$B$20,0)))))</f>
        <v/>
      </c>
      <c r="X65" s="12">
        <f>0.108-0.0286*K65+0.0422*LN(설정!$B$5)+0.1434*LN(원데이터!E65)-0.000631*LN(설정!$B$5)^2*LN(원데이터!E65)</f>
        <v/>
      </c>
      <c r="Y65" s="17">
        <f>원데이터!M65</f>
        <v/>
      </c>
      <c r="Z65" s="18">
        <f>X65*Y65</f>
        <v/>
      </c>
      <c r="AA65" s="18">
        <f>U65*W65</f>
        <v/>
      </c>
      <c r="AB65" s="18">
        <f>Z65*W65</f>
        <v/>
      </c>
    </row>
    <row r="66">
      <c r="A66" s="15">
        <f>원데이터!A66</f>
        <v/>
      </c>
      <c r="B66" s="14">
        <f>원데이터!A66-DATE(YEAR(원데이터!A66),1,1)+1</f>
        <v/>
      </c>
      <c r="C66" s="17">
        <f>(원데이터!B66+원데이터!C66)/2</f>
        <v/>
      </c>
      <c r="D66" s="12">
        <f>0.6108*EXP(17.27*원데이터!B66/(원데이터!B66+237.3))</f>
        <v/>
      </c>
      <c r="E66" s="12">
        <f>0.6108*EXP(17.27*원데이터!C66/(원데이터!C66+237.3))</f>
        <v/>
      </c>
      <c r="F66" s="12">
        <f>(D66+E66)/2</f>
        <v/>
      </c>
      <c r="G66" s="12">
        <f>IF(원데이터!H66&lt;&gt;"",원데이터!H66/10,IF(원데이터!I66&lt;&gt;"",0.6108*EXP(17.27*원데이터!I66/(원데이터!I66+237.3)),원데이터!E66/100*F66))</f>
        <v/>
      </c>
      <c r="H66" s="21">
        <f>4098*(0.6108*EXP(17.27*C66/(C66+237.3)))/(C66+237.3)^2</f>
        <v/>
      </c>
      <c r="I66" s="17">
        <f>IF(원데이터!J66&lt;&gt;"",원데이터!J66/10,101.3*((293-0.0065*설정!$B$3)/293)^5.26)</f>
        <v/>
      </c>
      <c r="J66" s="21">
        <f>0.000665*I66</f>
        <v/>
      </c>
      <c r="K66" s="18">
        <f>원데이터!G66*4.87/LN(67.8*설정!$B$4-5.42)</f>
        <v/>
      </c>
      <c r="L66" s="12">
        <f>1+0.033*COS(2*PI()*B66/365)</f>
        <v/>
      </c>
      <c r="M66" s="21">
        <f>0.409*SIN(2*PI()*B66/365-1.39)</f>
        <v/>
      </c>
      <c r="N66" s="21">
        <f>ACOS(-TAN(RADIANS(설정!$B$2))*TAN(M66))</f>
        <v/>
      </c>
      <c r="O66" s="18">
        <f>(24*60/PI())*0.082*L66*(N66*SIN(RADIANS(설정!$B$2))*SIN(M66)+COS(RADIANS(설정!$B$2))*COS(M66)*SIN(N66))</f>
        <v/>
      </c>
      <c r="P66" s="18">
        <f>(0.75+0.00002*설정!$B$3)*O66</f>
        <v/>
      </c>
      <c r="Q66" s="18">
        <f>IF(원데이터!K66&lt;&gt;"",원데이터!K66,(0.25+0.5*원데이터!L66/(24/PI()*N66))*O66)</f>
        <v/>
      </c>
      <c r="R66" s="18">
        <f>0.77*Q66</f>
        <v/>
      </c>
      <c r="S66" s="18">
        <f>0.000000004903*(((원데이터!B66+273.16)^4+(원데이터!C66+273.16)^4)/2)*(0.34-0.14*SQRT(G66))*(1.35*MIN(Q66/P66,1)-0.35)</f>
        <v/>
      </c>
      <c r="T66" s="18">
        <f>R66-S66</f>
        <v/>
      </c>
      <c r="U66" s="18">
        <f>(0.408*H66*T66+J66*(900/(C66+273))*K66*(F66-G66))/(H66+J66*(1+0.34*K66))</f>
        <v/>
      </c>
      <c r="V66" s="11">
        <f>IF(원데이터!A66-설정!$B$16&lt;0,"발아전",IF(원데이터!A66-설정!$B$16&lt;설정!$B$17,"초기",IF(원데이터!A66-설정!$B$16&lt;설정!$B$17+설정!$B$18,"발육",IF(원데이터!A66-설정!$B$16&lt;설정!$B$17+설정!$B$18+설정!$B$19,"중기",IF(원데이터!A66-설정!$B$16&lt;설정!$B$17+설정!$B$18+설정!$B$19+설정!$B$20,"후기","후기이후")))))</f>
        <v/>
      </c>
      <c r="W66" s="12">
        <f>IF(원데이터!A66-설정!$B$16&lt;0,0,IF(원데이터!A66-설정!$B$16&lt;설정!$B$17,설정!$B$33,IF(원데이터!A66-설정!$B$16&lt;설정!$B$17+설정!$B$18,설정!$B$33+(설정!$B$34-설정!$B$33)*(원데이터!A66-설정!$B$16-설정!$B$17+1)/설정!$B$18,IF(원데이터!A66-설정!$B$16&lt;설정!$B$17+설정!$B$18+설정!$B$19,설정!$B$34,IF(원데이터!A66-설정!$B$16&lt;설정!$B$17+설정!$B$18+설정!$B$19+설정!$B$20,설정!$B$34+(설정!$B$35-설정!$B$34)*(원데이터!A66-설정!$B$16-설정!$B$17-설정!$B$18-설정!$B$19+1)/설정!$B$20,0)))))</f>
        <v/>
      </c>
      <c r="X66" s="12">
        <f>0.108-0.0286*K66+0.0422*LN(설정!$B$5)+0.1434*LN(원데이터!E66)-0.000631*LN(설정!$B$5)^2*LN(원데이터!E66)</f>
        <v/>
      </c>
      <c r="Y66" s="17">
        <f>원데이터!M66</f>
        <v/>
      </c>
      <c r="Z66" s="18">
        <f>X66*Y66</f>
        <v/>
      </c>
      <c r="AA66" s="18">
        <f>U66*W66</f>
        <v/>
      </c>
      <c r="AB66" s="18">
        <f>Z66*W66</f>
        <v/>
      </c>
    </row>
    <row r="67">
      <c r="A67" s="15">
        <f>원데이터!A67</f>
        <v/>
      </c>
      <c r="B67" s="14">
        <f>원데이터!A67-DATE(YEAR(원데이터!A67),1,1)+1</f>
        <v/>
      </c>
      <c r="C67" s="17">
        <f>(원데이터!B67+원데이터!C67)/2</f>
        <v/>
      </c>
      <c r="D67" s="12">
        <f>0.6108*EXP(17.27*원데이터!B67/(원데이터!B67+237.3))</f>
        <v/>
      </c>
      <c r="E67" s="12">
        <f>0.6108*EXP(17.27*원데이터!C67/(원데이터!C67+237.3))</f>
        <v/>
      </c>
      <c r="F67" s="12">
        <f>(D67+E67)/2</f>
        <v/>
      </c>
      <c r="G67" s="12">
        <f>IF(원데이터!H67&lt;&gt;"",원데이터!H67/10,IF(원데이터!I67&lt;&gt;"",0.6108*EXP(17.27*원데이터!I67/(원데이터!I67+237.3)),원데이터!E67/100*F67))</f>
        <v/>
      </c>
      <c r="H67" s="21">
        <f>4098*(0.6108*EXP(17.27*C67/(C67+237.3)))/(C67+237.3)^2</f>
        <v/>
      </c>
      <c r="I67" s="17">
        <f>IF(원데이터!J67&lt;&gt;"",원데이터!J67/10,101.3*((293-0.0065*설정!$B$3)/293)^5.26)</f>
        <v/>
      </c>
      <c r="J67" s="21">
        <f>0.000665*I67</f>
        <v/>
      </c>
      <c r="K67" s="18">
        <f>원데이터!G67*4.87/LN(67.8*설정!$B$4-5.42)</f>
        <v/>
      </c>
      <c r="L67" s="12">
        <f>1+0.033*COS(2*PI()*B67/365)</f>
        <v/>
      </c>
      <c r="M67" s="21">
        <f>0.409*SIN(2*PI()*B67/365-1.39)</f>
        <v/>
      </c>
      <c r="N67" s="21">
        <f>ACOS(-TAN(RADIANS(설정!$B$2))*TAN(M67))</f>
        <v/>
      </c>
      <c r="O67" s="18">
        <f>(24*60/PI())*0.082*L67*(N67*SIN(RADIANS(설정!$B$2))*SIN(M67)+COS(RADIANS(설정!$B$2))*COS(M67)*SIN(N67))</f>
        <v/>
      </c>
      <c r="P67" s="18">
        <f>(0.75+0.00002*설정!$B$3)*O67</f>
        <v/>
      </c>
      <c r="Q67" s="18">
        <f>IF(원데이터!K67&lt;&gt;"",원데이터!K67,(0.25+0.5*원데이터!L67/(24/PI()*N67))*O67)</f>
        <v/>
      </c>
      <c r="R67" s="18">
        <f>0.77*Q67</f>
        <v/>
      </c>
      <c r="S67" s="18">
        <f>0.000000004903*(((원데이터!B67+273.16)^4+(원데이터!C67+273.16)^4)/2)*(0.34-0.14*SQRT(G67))*(1.35*MIN(Q67/P67,1)-0.35)</f>
        <v/>
      </c>
      <c r="T67" s="18">
        <f>R67-S67</f>
        <v/>
      </c>
      <c r="U67" s="18">
        <f>(0.408*H67*T67+J67*(900/(C67+273))*K67*(F67-G67))/(H67+J67*(1+0.34*K67))</f>
        <v/>
      </c>
      <c r="V67" s="11">
        <f>IF(원데이터!A67-설정!$B$16&lt;0,"발아전",IF(원데이터!A67-설정!$B$16&lt;설정!$B$17,"초기",IF(원데이터!A67-설정!$B$16&lt;설정!$B$17+설정!$B$18,"발육",IF(원데이터!A67-설정!$B$16&lt;설정!$B$17+설정!$B$18+설정!$B$19,"중기",IF(원데이터!A67-설정!$B$16&lt;설정!$B$17+설정!$B$18+설정!$B$19+설정!$B$20,"후기","후기이후")))))</f>
        <v/>
      </c>
      <c r="W67" s="12">
        <f>IF(원데이터!A67-설정!$B$16&lt;0,0,IF(원데이터!A67-설정!$B$16&lt;설정!$B$17,설정!$B$33,IF(원데이터!A67-설정!$B$16&lt;설정!$B$17+설정!$B$18,설정!$B$33+(설정!$B$34-설정!$B$33)*(원데이터!A67-설정!$B$16-설정!$B$17+1)/설정!$B$18,IF(원데이터!A67-설정!$B$16&lt;설정!$B$17+설정!$B$18+설정!$B$19,설정!$B$34,IF(원데이터!A67-설정!$B$16&lt;설정!$B$17+설정!$B$18+설정!$B$19+설정!$B$20,설정!$B$34+(설정!$B$35-설정!$B$34)*(원데이터!A67-설정!$B$16-설정!$B$17-설정!$B$18-설정!$B$19+1)/설정!$B$20,0)))))</f>
        <v/>
      </c>
      <c r="X67" s="12">
        <f>0.108-0.0286*K67+0.0422*LN(설정!$B$5)+0.1434*LN(원데이터!E67)-0.000631*LN(설정!$B$5)^2*LN(원데이터!E67)</f>
        <v/>
      </c>
      <c r="Y67" s="17">
        <f>원데이터!M67</f>
        <v/>
      </c>
      <c r="Z67" s="18">
        <f>X67*Y67</f>
        <v/>
      </c>
      <c r="AA67" s="18">
        <f>U67*W67</f>
        <v/>
      </c>
      <c r="AB67" s="18">
        <f>Z67*W67</f>
        <v/>
      </c>
    </row>
    <row r="68">
      <c r="A68" s="15">
        <f>원데이터!A68</f>
        <v/>
      </c>
      <c r="B68" s="14">
        <f>원데이터!A68-DATE(YEAR(원데이터!A68),1,1)+1</f>
        <v/>
      </c>
      <c r="C68" s="17">
        <f>(원데이터!B68+원데이터!C68)/2</f>
        <v/>
      </c>
      <c r="D68" s="12">
        <f>0.6108*EXP(17.27*원데이터!B68/(원데이터!B68+237.3))</f>
        <v/>
      </c>
      <c r="E68" s="12">
        <f>0.6108*EXP(17.27*원데이터!C68/(원데이터!C68+237.3))</f>
        <v/>
      </c>
      <c r="F68" s="12">
        <f>(D68+E68)/2</f>
        <v/>
      </c>
      <c r="G68" s="12">
        <f>IF(원데이터!H68&lt;&gt;"",원데이터!H68/10,IF(원데이터!I68&lt;&gt;"",0.6108*EXP(17.27*원데이터!I68/(원데이터!I68+237.3)),원데이터!E68/100*F68))</f>
        <v/>
      </c>
      <c r="H68" s="21">
        <f>4098*(0.6108*EXP(17.27*C68/(C68+237.3)))/(C68+237.3)^2</f>
        <v/>
      </c>
      <c r="I68" s="17">
        <f>IF(원데이터!J68&lt;&gt;"",원데이터!J68/10,101.3*((293-0.0065*설정!$B$3)/293)^5.26)</f>
        <v/>
      </c>
      <c r="J68" s="21">
        <f>0.000665*I68</f>
        <v/>
      </c>
      <c r="K68" s="18">
        <f>원데이터!G68*4.87/LN(67.8*설정!$B$4-5.42)</f>
        <v/>
      </c>
      <c r="L68" s="12">
        <f>1+0.033*COS(2*PI()*B68/365)</f>
        <v/>
      </c>
      <c r="M68" s="21">
        <f>0.409*SIN(2*PI()*B68/365-1.39)</f>
        <v/>
      </c>
      <c r="N68" s="21">
        <f>ACOS(-TAN(RADIANS(설정!$B$2))*TAN(M68))</f>
        <v/>
      </c>
      <c r="O68" s="18">
        <f>(24*60/PI())*0.082*L68*(N68*SIN(RADIANS(설정!$B$2))*SIN(M68)+COS(RADIANS(설정!$B$2))*COS(M68)*SIN(N68))</f>
        <v/>
      </c>
      <c r="P68" s="18">
        <f>(0.75+0.00002*설정!$B$3)*O68</f>
        <v/>
      </c>
      <c r="Q68" s="18">
        <f>IF(원데이터!K68&lt;&gt;"",원데이터!K68,(0.25+0.5*원데이터!L68/(24/PI()*N68))*O68)</f>
        <v/>
      </c>
      <c r="R68" s="18">
        <f>0.77*Q68</f>
        <v/>
      </c>
      <c r="S68" s="18">
        <f>0.000000004903*(((원데이터!B68+273.16)^4+(원데이터!C68+273.16)^4)/2)*(0.34-0.14*SQRT(G68))*(1.35*MIN(Q68/P68,1)-0.35)</f>
        <v/>
      </c>
      <c r="T68" s="18">
        <f>R68-S68</f>
        <v/>
      </c>
      <c r="U68" s="18">
        <f>(0.408*H68*T68+J68*(900/(C68+273))*K68*(F68-G68))/(H68+J68*(1+0.34*K68))</f>
        <v/>
      </c>
      <c r="V68" s="11">
        <f>IF(원데이터!A68-설정!$B$16&lt;0,"발아전",IF(원데이터!A68-설정!$B$16&lt;설정!$B$17,"초기",IF(원데이터!A68-설정!$B$16&lt;설정!$B$17+설정!$B$18,"발육",IF(원데이터!A68-설정!$B$16&lt;설정!$B$17+설정!$B$18+설정!$B$19,"중기",IF(원데이터!A68-설정!$B$16&lt;설정!$B$17+설정!$B$18+설정!$B$19+설정!$B$20,"후기","후기이후")))))</f>
        <v/>
      </c>
      <c r="W68" s="12">
        <f>IF(원데이터!A68-설정!$B$16&lt;0,0,IF(원데이터!A68-설정!$B$16&lt;설정!$B$17,설정!$B$33,IF(원데이터!A68-설정!$B$16&lt;설정!$B$17+설정!$B$18,설정!$B$33+(설정!$B$34-설정!$B$33)*(원데이터!A68-설정!$B$16-설정!$B$17+1)/설정!$B$18,IF(원데이터!A68-설정!$B$16&lt;설정!$B$17+설정!$B$18+설정!$B$19,설정!$B$34,IF(원데이터!A68-설정!$B$16&lt;설정!$B$17+설정!$B$18+설정!$B$19+설정!$B$20,설정!$B$34+(설정!$B$35-설정!$B$34)*(원데이터!A68-설정!$B$16-설정!$B$17-설정!$B$18-설정!$B$19+1)/설정!$B$20,0)))))</f>
        <v/>
      </c>
      <c r="X68" s="12">
        <f>0.108-0.0286*K68+0.0422*LN(설정!$B$5)+0.1434*LN(원데이터!E68)-0.000631*LN(설정!$B$5)^2*LN(원데이터!E68)</f>
        <v/>
      </c>
      <c r="Y68" s="17">
        <f>원데이터!M68</f>
        <v/>
      </c>
      <c r="Z68" s="18">
        <f>X68*Y68</f>
        <v/>
      </c>
      <c r="AA68" s="18">
        <f>U68*W68</f>
        <v/>
      </c>
      <c r="AB68" s="18">
        <f>Z68*W68</f>
        <v/>
      </c>
    </row>
    <row r="69">
      <c r="A69" s="15">
        <f>원데이터!A69</f>
        <v/>
      </c>
      <c r="B69" s="14">
        <f>원데이터!A69-DATE(YEAR(원데이터!A69),1,1)+1</f>
        <v/>
      </c>
      <c r="C69" s="17">
        <f>(원데이터!B69+원데이터!C69)/2</f>
        <v/>
      </c>
      <c r="D69" s="12">
        <f>0.6108*EXP(17.27*원데이터!B69/(원데이터!B69+237.3))</f>
        <v/>
      </c>
      <c r="E69" s="12">
        <f>0.6108*EXP(17.27*원데이터!C69/(원데이터!C69+237.3))</f>
        <v/>
      </c>
      <c r="F69" s="12">
        <f>(D69+E69)/2</f>
        <v/>
      </c>
      <c r="G69" s="12">
        <f>IF(원데이터!H69&lt;&gt;"",원데이터!H69/10,IF(원데이터!I69&lt;&gt;"",0.6108*EXP(17.27*원데이터!I69/(원데이터!I69+237.3)),원데이터!E69/100*F69))</f>
        <v/>
      </c>
      <c r="H69" s="21">
        <f>4098*(0.6108*EXP(17.27*C69/(C69+237.3)))/(C69+237.3)^2</f>
        <v/>
      </c>
      <c r="I69" s="17">
        <f>IF(원데이터!J69&lt;&gt;"",원데이터!J69/10,101.3*((293-0.0065*설정!$B$3)/293)^5.26)</f>
        <v/>
      </c>
      <c r="J69" s="21">
        <f>0.000665*I69</f>
        <v/>
      </c>
      <c r="K69" s="18">
        <f>원데이터!G69*4.87/LN(67.8*설정!$B$4-5.42)</f>
        <v/>
      </c>
      <c r="L69" s="12">
        <f>1+0.033*COS(2*PI()*B69/365)</f>
        <v/>
      </c>
      <c r="M69" s="21">
        <f>0.409*SIN(2*PI()*B69/365-1.39)</f>
        <v/>
      </c>
      <c r="N69" s="21">
        <f>ACOS(-TAN(RADIANS(설정!$B$2))*TAN(M69))</f>
        <v/>
      </c>
      <c r="O69" s="18">
        <f>(24*60/PI())*0.082*L69*(N69*SIN(RADIANS(설정!$B$2))*SIN(M69)+COS(RADIANS(설정!$B$2))*COS(M69)*SIN(N69))</f>
        <v/>
      </c>
      <c r="P69" s="18">
        <f>(0.75+0.00002*설정!$B$3)*O69</f>
        <v/>
      </c>
      <c r="Q69" s="18">
        <f>IF(원데이터!K69&lt;&gt;"",원데이터!K69,(0.25+0.5*원데이터!L69/(24/PI()*N69))*O69)</f>
        <v/>
      </c>
      <c r="R69" s="18">
        <f>0.77*Q69</f>
        <v/>
      </c>
      <c r="S69" s="18">
        <f>0.000000004903*(((원데이터!B69+273.16)^4+(원데이터!C69+273.16)^4)/2)*(0.34-0.14*SQRT(G69))*(1.35*MIN(Q69/P69,1)-0.35)</f>
        <v/>
      </c>
      <c r="T69" s="18">
        <f>R69-S69</f>
        <v/>
      </c>
      <c r="U69" s="18">
        <f>(0.408*H69*T69+J69*(900/(C69+273))*K69*(F69-G69))/(H69+J69*(1+0.34*K69))</f>
        <v/>
      </c>
      <c r="V69" s="11">
        <f>IF(원데이터!A69-설정!$B$16&lt;0,"발아전",IF(원데이터!A69-설정!$B$16&lt;설정!$B$17,"초기",IF(원데이터!A69-설정!$B$16&lt;설정!$B$17+설정!$B$18,"발육",IF(원데이터!A69-설정!$B$16&lt;설정!$B$17+설정!$B$18+설정!$B$19,"중기",IF(원데이터!A69-설정!$B$16&lt;설정!$B$17+설정!$B$18+설정!$B$19+설정!$B$20,"후기","후기이후")))))</f>
        <v/>
      </c>
      <c r="W69" s="12">
        <f>IF(원데이터!A69-설정!$B$16&lt;0,0,IF(원데이터!A69-설정!$B$16&lt;설정!$B$17,설정!$B$33,IF(원데이터!A69-설정!$B$16&lt;설정!$B$17+설정!$B$18,설정!$B$33+(설정!$B$34-설정!$B$33)*(원데이터!A69-설정!$B$16-설정!$B$17+1)/설정!$B$18,IF(원데이터!A69-설정!$B$16&lt;설정!$B$17+설정!$B$18+설정!$B$19,설정!$B$34,IF(원데이터!A69-설정!$B$16&lt;설정!$B$17+설정!$B$18+설정!$B$19+설정!$B$20,설정!$B$34+(설정!$B$35-설정!$B$34)*(원데이터!A69-설정!$B$16-설정!$B$17-설정!$B$18-설정!$B$19+1)/설정!$B$20,0)))))</f>
        <v/>
      </c>
      <c r="X69" s="12">
        <f>0.108-0.0286*K69+0.0422*LN(설정!$B$5)+0.1434*LN(원데이터!E69)-0.000631*LN(설정!$B$5)^2*LN(원데이터!E69)</f>
        <v/>
      </c>
      <c r="Y69" s="17">
        <f>원데이터!M69</f>
        <v/>
      </c>
      <c r="Z69" s="18">
        <f>X69*Y69</f>
        <v/>
      </c>
      <c r="AA69" s="18">
        <f>U69*W69</f>
        <v/>
      </c>
      <c r="AB69" s="18">
        <f>Z69*W69</f>
        <v/>
      </c>
    </row>
    <row r="70">
      <c r="A70" s="15">
        <f>원데이터!A70</f>
        <v/>
      </c>
      <c r="B70" s="14">
        <f>원데이터!A70-DATE(YEAR(원데이터!A70),1,1)+1</f>
        <v/>
      </c>
      <c r="C70" s="17">
        <f>(원데이터!B70+원데이터!C70)/2</f>
        <v/>
      </c>
      <c r="D70" s="12">
        <f>0.6108*EXP(17.27*원데이터!B70/(원데이터!B70+237.3))</f>
        <v/>
      </c>
      <c r="E70" s="12">
        <f>0.6108*EXP(17.27*원데이터!C70/(원데이터!C70+237.3))</f>
        <v/>
      </c>
      <c r="F70" s="12">
        <f>(D70+E70)/2</f>
        <v/>
      </c>
      <c r="G70" s="12">
        <f>IF(원데이터!H70&lt;&gt;"",원데이터!H70/10,IF(원데이터!I70&lt;&gt;"",0.6108*EXP(17.27*원데이터!I70/(원데이터!I70+237.3)),원데이터!E70/100*F70))</f>
        <v/>
      </c>
      <c r="H70" s="21">
        <f>4098*(0.6108*EXP(17.27*C70/(C70+237.3)))/(C70+237.3)^2</f>
        <v/>
      </c>
      <c r="I70" s="17">
        <f>IF(원데이터!J70&lt;&gt;"",원데이터!J70/10,101.3*((293-0.0065*설정!$B$3)/293)^5.26)</f>
        <v/>
      </c>
      <c r="J70" s="21">
        <f>0.000665*I70</f>
        <v/>
      </c>
      <c r="K70" s="18">
        <f>원데이터!G70*4.87/LN(67.8*설정!$B$4-5.42)</f>
        <v/>
      </c>
      <c r="L70" s="12">
        <f>1+0.033*COS(2*PI()*B70/365)</f>
        <v/>
      </c>
      <c r="M70" s="21">
        <f>0.409*SIN(2*PI()*B70/365-1.39)</f>
        <v/>
      </c>
      <c r="N70" s="21">
        <f>ACOS(-TAN(RADIANS(설정!$B$2))*TAN(M70))</f>
        <v/>
      </c>
      <c r="O70" s="18">
        <f>(24*60/PI())*0.082*L70*(N70*SIN(RADIANS(설정!$B$2))*SIN(M70)+COS(RADIANS(설정!$B$2))*COS(M70)*SIN(N70))</f>
        <v/>
      </c>
      <c r="P70" s="18">
        <f>(0.75+0.00002*설정!$B$3)*O70</f>
        <v/>
      </c>
      <c r="Q70" s="18">
        <f>IF(원데이터!K70&lt;&gt;"",원데이터!K70,(0.25+0.5*원데이터!L70/(24/PI()*N70))*O70)</f>
        <v/>
      </c>
      <c r="R70" s="18">
        <f>0.77*Q70</f>
        <v/>
      </c>
      <c r="S70" s="18">
        <f>0.000000004903*(((원데이터!B70+273.16)^4+(원데이터!C70+273.16)^4)/2)*(0.34-0.14*SQRT(G70))*(1.35*MIN(Q70/P70,1)-0.35)</f>
        <v/>
      </c>
      <c r="T70" s="18">
        <f>R70-S70</f>
        <v/>
      </c>
      <c r="U70" s="18">
        <f>(0.408*H70*T70+J70*(900/(C70+273))*K70*(F70-G70))/(H70+J70*(1+0.34*K70))</f>
        <v/>
      </c>
      <c r="V70" s="11">
        <f>IF(원데이터!A70-설정!$B$16&lt;0,"발아전",IF(원데이터!A70-설정!$B$16&lt;설정!$B$17,"초기",IF(원데이터!A70-설정!$B$16&lt;설정!$B$17+설정!$B$18,"발육",IF(원데이터!A70-설정!$B$16&lt;설정!$B$17+설정!$B$18+설정!$B$19,"중기",IF(원데이터!A70-설정!$B$16&lt;설정!$B$17+설정!$B$18+설정!$B$19+설정!$B$20,"후기","후기이후")))))</f>
        <v/>
      </c>
      <c r="W70" s="12">
        <f>IF(원데이터!A70-설정!$B$16&lt;0,0,IF(원데이터!A70-설정!$B$16&lt;설정!$B$17,설정!$B$33,IF(원데이터!A70-설정!$B$16&lt;설정!$B$17+설정!$B$18,설정!$B$33+(설정!$B$34-설정!$B$33)*(원데이터!A70-설정!$B$16-설정!$B$17+1)/설정!$B$18,IF(원데이터!A70-설정!$B$16&lt;설정!$B$17+설정!$B$18+설정!$B$19,설정!$B$34,IF(원데이터!A70-설정!$B$16&lt;설정!$B$17+설정!$B$18+설정!$B$19+설정!$B$20,설정!$B$34+(설정!$B$35-설정!$B$34)*(원데이터!A70-설정!$B$16-설정!$B$17-설정!$B$18-설정!$B$19+1)/설정!$B$20,0)))))</f>
        <v/>
      </c>
      <c r="X70" s="12">
        <f>0.108-0.0286*K70+0.0422*LN(설정!$B$5)+0.1434*LN(원데이터!E70)-0.000631*LN(설정!$B$5)^2*LN(원데이터!E70)</f>
        <v/>
      </c>
      <c r="Y70" s="17">
        <f>원데이터!M70</f>
        <v/>
      </c>
      <c r="Z70" s="18">
        <f>X70*Y70</f>
        <v/>
      </c>
      <c r="AA70" s="18">
        <f>U70*W70</f>
        <v/>
      </c>
      <c r="AB70" s="18">
        <f>Z70*W70</f>
        <v/>
      </c>
    </row>
    <row r="71">
      <c r="A71" s="15">
        <f>원데이터!A71</f>
        <v/>
      </c>
      <c r="B71" s="14">
        <f>원데이터!A71-DATE(YEAR(원데이터!A71),1,1)+1</f>
        <v/>
      </c>
      <c r="C71" s="17">
        <f>(원데이터!B71+원데이터!C71)/2</f>
        <v/>
      </c>
      <c r="D71" s="12">
        <f>0.6108*EXP(17.27*원데이터!B71/(원데이터!B71+237.3))</f>
        <v/>
      </c>
      <c r="E71" s="12">
        <f>0.6108*EXP(17.27*원데이터!C71/(원데이터!C71+237.3))</f>
        <v/>
      </c>
      <c r="F71" s="12">
        <f>(D71+E71)/2</f>
        <v/>
      </c>
      <c r="G71" s="12">
        <f>IF(원데이터!H71&lt;&gt;"",원데이터!H71/10,IF(원데이터!I71&lt;&gt;"",0.6108*EXP(17.27*원데이터!I71/(원데이터!I71+237.3)),원데이터!E71/100*F71))</f>
        <v/>
      </c>
      <c r="H71" s="21">
        <f>4098*(0.6108*EXP(17.27*C71/(C71+237.3)))/(C71+237.3)^2</f>
        <v/>
      </c>
      <c r="I71" s="17">
        <f>IF(원데이터!J71&lt;&gt;"",원데이터!J71/10,101.3*((293-0.0065*설정!$B$3)/293)^5.26)</f>
        <v/>
      </c>
      <c r="J71" s="21">
        <f>0.000665*I71</f>
        <v/>
      </c>
      <c r="K71" s="18">
        <f>원데이터!G71*4.87/LN(67.8*설정!$B$4-5.42)</f>
        <v/>
      </c>
      <c r="L71" s="12">
        <f>1+0.033*COS(2*PI()*B71/365)</f>
        <v/>
      </c>
      <c r="M71" s="21">
        <f>0.409*SIN(2*PI()*B71/365-1.39)</f>
        <v/>
      </c>
      <c r="N71" s="21">
        <f>ACOS(-TAN(RADIANS(설정!$B$2))*TAN(M71))</f>
        <v/>
      </c>
      <c r="O71" s="18">
        <f>(24*60/PI())*0.082*L71*(N71*SIN(RADIANS(설정!$B$2))*SIN(M71)+COS(RADIANS(설정!$B$2))*COS(M71)*SIN(N71))</f>
        <v/>
      </c>
      <c r="P71" s="18">
        <f>(0.75+0.00002*설정!$B$3)*O71</f>
        <v/>
      </c>
      <c r="Q71" s="18">
        <f>IF(원데이터!K71&lt;&gt;"",원데이터!K71,(0.25+0.5*원데이터!L71/(24/PI()*N71))*O71)</f>
        <v/>
      </c>
      <c r="R71" s="18">
        <f>0.77*Q71</f>
        <v/>
      </c>
      <c r="S71" s="18">
        <f>0.000000004903*(((원데이터!B71+273.16)^4+(원데이터!C71+273.16)^4)/2)*(0.34-0.14*SQRT(G71))*(1.35*MIN(Q71/P71,1)-0.35)</f>
        <v/>
      </c>
      <c r="T71" s="18">
        <f>R71-S71</f>
        <v/>
      </c>
      <c r="U71" s="18">
        <f>(0.408*H71*T71+J71*(900/(C71+273))*K71*(F71-G71))/(H71+J71*(1+0.34*K71))</f>
        <v/>
      </c>
      <c r="V71" s="11">
        <f>IF(원데이터!A71-설정!$B$16&lt;0,"발아전",IF(원데이터!A71-설정!$B$16&lt;설정!$B$17,"초기",IF(원데이터!A71-설정!$B$16&lt;설정!$B$17+설정!$B$18,"발육",IF(원데이터!A71-설정!$B$16&lt;설정!$B$17+설정!$B$18+설정!$B$19,"중기",IF(원데이터!A71-설정!$B$16&lt;설정!$B$17+설정!$B$18+설정!$B$19+설정!$B$20,"후기","후기이후")))))</f>
        <v/>
      </c>
      <c r="W71" s="12">
        <f>IF(원데이터!A71-설정!$B$16&lt;0,0,IF(원데이터!A71-설정!$B$16&lt;설정!$B$17,설정!$B$33,IF(원데이터!A71-설정!$B$16&lt;설정!$B$17+설정!$B$18,설정!$B$33+(설정!$B$34-설정!$B$33)*(원데이터!A71-설정!$B$16-설정!$B$17+1)/설정!$B$18,IF(원데이터!A71-설정!$B$16&lt;설정!$B$17+설정!$B$18+설정!$B$19,설정!$B$34,IF(원데이터!A71-설정!$B$16&lt;설정!$B$17+설정!$B$18+설정!$B$19+설정!$B$20,설정!$B$34+(설정!$B$35-설정!$B$34)*(원데이터!A71-설정!$B$16-설정!$B$17-설정!$B$18-설정!$B$19+1)/설정!$B$20,0)))))</f>
        <v/>
      </c>
      <c r="X71" s="12">
        <f>0.108-0.0286*K71+0.0422*LN(설정!$B$5)+0.1434*LN(원데이터!E71)-0.000631*LN(설정!$B$5)^2*LN(원데이터!E71)</f>
        <v/>
      </c>
      <c r="Y71" s="17">
        <f>원데이터!M71</f>
        <v/>
      </c>
      <c r="Z71" s="18">
        <f>X71*Y71</f>
        <v/>
      </c>
      <c r="AA71" s="18">
        <f>U71*W71</f>
        <v/>
      </c>
      <c r="AB71" s="18">
        <f>Z71*W71</f>
        <v/>
      </c>
    </row>
    <row r="72">
      <c r="A72" s="15">
        <f>원데이터!A72</f>
        <v/>
      </c>
      <c r="B72" s="14">
        <f>원데이터!A72-DATE(YEAR(원데이터!A72),1,1)+1</f>
        <v/>
      </c>
      <c r="C72" s="17">
        <f>(원데이터!B72+원데이터!C72)/2</f>
        <v/>
      </c>
      <c r="D72" s="12">
        <f>0.6108*EXP(17.27*원데이터!B72/(원데이터!B72+237.3))</f>
        <v/>
      </c>
      <c r="E72" s="12">
        <f>0.6108*EXP(17.27*원데이터!C72/(원데이터!C72+237.3))</f>
        <v/>
      </c>
      <c r="F72" s="12">
        <f>(D72+E72)/2</f>
        <v/>
      </c>
      <c r="G72" s="12">
        <f>IF(원데이터!H72&lt;&gt;"",원데이터!H72/10,IF(원데이터!I72&lt;&gt;"",0.6108*EXP(17.27*원데이터!I72/(원데이터!I72+237.3)),원데이터!E72/100*F72))</f>
        <v/>
      </c>
      <c r="H72" s="21">
        <f>4098*(0.6108*EXP(17.27*C72/(C72+237.3)))/(C72+237.3)^2</f>
        <v/>
      </c>
      <c r="I72" s="17">
        <f>IF(원데이터!J72&lt;&gt;"",원데이터!J72/10,101.3*((293-0.0065*설정!$B$3)/293)^5.26)</f>
        <v/>
      </c>
      <c r="J72" s="21">
        <f>0.000665*I72</f>
        <v/>
      </c>
      <c r="K72" s="18">
        <f>원데이터!G72*4.87/LN(67.8*설정!$B$4-5.42)</f>
        <v/>
      </c>
      <c r="L72" s="12">
        <f>1+0.033*COS(2*PI()*B72/365)</f>
        <v/>
      </c>
      <c r="M72" s="21">
        <f>0.409*SIN(2*PI()*B72/365-1.39)</f>
        <v/>
      </c>
      <c r="N72" s="21">
        <f>ACOS(-TAN(RADIANS(설정!$B$2))*TAN(M72))</f>
        <v/>
      </c>
      <c r="O72" s="18">
        <f>(24*60/PI())*0.082*L72*(N72*SIN(RADIANS(설정!$B$2))*SIN(M72)+COS(RADIANS(설정!$B$2))*COS(M72)*SIN(N72))</f>
        <v/>
      </c>
      <c r="P72" s="18">
        <f>(0.75+0.00002*설정!$B$3)*O72</f>
        <v/>
      </c>
      <c r="Q72" s="18">
        <f>IF(원데이터!K72&lt;&gt;"",원데이터!K72,(0.25+0.5*원데이터!L72/(24/PI()*N72))*O72)</f>
        <v/>
      </c>
      <c r="R72" s="18">
        <f>0.77*Q72</f>
        <v/>
      </c>
      <c r="S72" s="18">
        <f>0.000000004903*(((원데이터!B72+273.16)^4+(원데이터!C72+273.16)^4)/2)*(0.34-0.14*SQRT(G72))*(1.35*MIN(Q72/P72,1)-0.35)</f>
        <v/>
      </c>
      <c r="T72" s="18">
        <f>R72-S72</f>
        <v/>
      </c>
      <c r="U72" s="18">
        <f>(0.408*H72*T72+J72*(900/(C72+273))*K72*(F72-G72))/(H72+J72*(1+0.34*K72))</f>
        <v/>
      </c>
      <c r="V72" s="11">
        <f>IF(원데이터!A72-설정!$B$16&lt;0,"발아전",IF(원데이터!A72-설정!$B$16&lt;설정!$B$17,"초기",IF(원데이터!A72-설정!$B$16&lt;설정!$B$17+설정!$B$18,"발육",IF(원데이터!A72-설정!$B$16&lt;설정!$B$17+설정!$B$18+설정!$B$19,"중기",IF(원데이터!A72-설정!$B$16&lt;설정!$B$17+설정!$B$18+설정!$B$19+설정!$B$20,"후기","후기이후")))))</f>
        <v/>
      </c>
      <c r="W72" s="12">
        <f>IF(원데이터!A72-설정!$B$16&lt;0,0,IF(원데이터!A72-설정!$B$16&lt;설정!$B$17,설정!$B$33,IF(원데이터!A72-설정!$B$16&lt;설정!$B$17+설정!$B$18,설정!$B$33+(설정!$B$34-설정!$B$33)*(원데이터!A72-설정!$B$16-설정!$B$17+1)/설정!$B$18,IF(원데이터!A72-설정!$B$16&lt;설정!$B$17+설정!$B$18+설정!$B$19,설정!$B$34,IF(원데이터!A72-설정!$B$16&lt;설정!$B$17+설정!$B$18+설정!$B$19+설정!$B$20,설정!$B$34+(설정!$B$35-설정!$B$34)*(원데이터!A72-설정!$B$16-설정!$B$17-설정!$B$18-설정!$B$19+1)/설정!$B$20,0)))))</f>
        <v/>
      </c>
      <c r="X72" s="12">
        <f>0.108-0.0286*K72+0.0422*LN(설정!$B$5)+0.1434*LN(원데이터!E72)-0.000631*LN(설정!$B$5)^2*LN(원데이터!E72)</f>
        <v/>
      </c>
      <c r="Y72" s="17">
        <f>원데이터!M72</f>
        <v/>
      </c>
      <c r="Z72" s="18">
        <f>X72*Y72</f>
        <v/>
      </c>
      <c r="AA72" s="18">
        <f>U72*W72</f>
        <v/>
      </c>
      <c r="AB72" s="18">
        <f>Z72*W72</f>
        <v/>
      </c>
    </row>
    <row r="73">
      <c r="A73" s="15">
        <f>원데이터!A73</f>
        <v/>
      </c>
      <c r="B73" s="14">
        <f>원데이터!A73-DATE(YEAR(원데이터!A73),1,1)+1</f>
        <v/>
      </c>
      <c r="C73" s="17">
        <f>(원데이터!B73+원데이터!C73)/2</f>
        <v/>
      </c>
      <c r="D73" s="12">
        <f>0.6108*EXP(17.27*원데이터!B73/(원데이터!B73+237.3))</f>
        <v/>
      </c>
      <c r="E73" s="12">
        <f>0.6108*EXP(17.27*원데이터!C73/(원데이터!C73+237.3))</f>
        <v/>
      </c>
      <c r="F73" s="12">
        <f>(D73+E73)/2</f>
        <v/>
      </c>
      <c r="G73" s="12">
        <f>IF(원데이터!H73&lt;&gt;"",원데이터!H73/10,IF(원데이터!I73&lt;&gt;"",0.6108*EXP(17.27*원데이터!I73/(원데이터!I73+237.3)),원데이터!E73/100*F73))</f>
        <v/>
      </c>
      <c r="H73" s="21">
        <f>4098*(0.6108*EXP(17.27*C73/(C73+237.3)))/(C73+237.3)^2</f>
        <v/>
      </c>
      <c r="I73" s="17">
        <f>IF(원데이터!J73&lt;&gt;"",원데이터!J73/10,101.3*((293-0.0065*설정!$B$3)/293)^5.26)</f>
        <v/>
      </c>
      <c r="J73" s="21">
        <f>0.000665*I73</f>
        <v/>
      </c>
      <c r="K73" s="18">
        <f>원데이터!G73*4.87/LN(67.8*설정!$B$4-5.42)</f>
        <v/>
      </c>
      <c r="L73" s="12">
        <f>1+0.033*COS(2*PI()*B73/365)</f>
        <v/>
      </c>
      <c r="M73" s="21">
        <f>0.409*SIN(2*PI()*B73/365-1.39)</f>
        <v/>
      </c>
      <c r="N73" s="21">
        <f>ACOS(-TAN(RADIANS(설정!$B$2))*TAN(M73))</f>
        <v/>
      </c>
      <c r="O73" s="18">
        <f>(24*60/PI())*0.082*L73*(N73*SIN(RADIANS(설정!$B$2))*SIN(M73)+COS(RADIANS(설정!$B$2))*COS(M73)*SIN(N73))</f>
        <v/>
      </c>
      <c r="P73" s="18">
        <f>(0.75+0.00002*설정!$B$3)*O73</f>
        <v/>
      </c>
      <c r="Q73" s="18">
        <f>IF(원데이터!K73&lt;&gt;"",원데이터!K73,(0.25+0.5*원데이터!L73/(24/PI()*N73))*O73)</f>
        <v/>
      </c>
      <c r="R73" s="18">
        <f>0.77*Q73</f>
        <v/>
      </c>
      <c r="S73" s="18">
        <f>0.000000004903*(((원데이터!B73+273.16)^4+(원데이터!C73+273.16)^4)/2)*(0.34-0.14*SQRT(G73))*(1.35*MIN(Q73/P73,1)-0.35)</f>
        <v/>
      </c>
      <c r="T73" s="18">
        <f>R73-S73</f>
        <v/>
      </c>
      <c r="U73" s="18">
        <f>(0.408*H73*T73+J73*(900/(C73+273))*K73*(F73-G73))/(H73+J73*(1+0.34*K73))</f>
        <v/>
      </c>
      <c r="V73" s="11">
        <f>IF(원데이터!A73-설정!$B$16&lt;0,"발아전",IF(원데이터!A73-설정!$B$16&lt;설정!$B$17,"초기",IF(원데이터!A73-설정!$B$16&lt;설정!$B$17+설정!$B$18,"발육",IF(원데이터!A73-설정!$B$16&lt;설정!$B$17+설정!$B$18+설정!$B$19,"중기",IF(원데이터!A73-설정!$B$16&lt;설정!$B$17+설정!$B$18+설정!$B$19+설정!$B$20,"후기","후기이후")))))</f>
        <v/>
      </c>
      <c r="W73" s="12">
        <f>IF(원데이터!A73-설정!$B$16&lt;0,0,IF(원데이터!A73-설정!$B$16&lt;설정!$B$17,설정!$B$33,IF(원데이터!A73-설정!$B$16&lt;설정!$B$17+설정!$B$18,설정!$B$33+(설정!$B$34-설정!$B$33)*(원데이터!A73-설정!$B$16-설정!$B$17+1)/설정!$B$18,IF(원데이터!A73-설정!$B$16&lt;설정!$B$17+설정!$B$18+설정!$B$19,설정!$B$34,IF(원데이터!A73-설정!$B$16&lt;설정!$B$17+설정!$B$18+설정!$B$19+설정!$B$20,설정!$B$34+(설정!$B$35-설정!$B$34)*(원데이터!A73-설정!$B$16-설정!$B$17-설정!$B$18-설정!$B$19+1)/설정!$B$20,0)))))</f>
        <v/>
      </c>
      <c r="X73" s="12">
        <f>0.108-0.0286*K73+0.0422*LN(설정!$B$5)+0.1434*LN(원데이터!E73)-0.000631*LN(설정!$B$5)^2*LN(원데이터!E73)</f>
        <v/>
      </c>
      <c r="Y73" s="17">
        <f>원데이터!M73</f>
        <v/>
      </c>
      <c r="Z73" s="18">
        <f>X73*Y73</f>
        <v/>
      </c>
      <c r="AA73" s="18">
        <f>U73*W73</f>
        <v/>
      </c>
      <c r="AB73" s="18">
        <f>Z73*W73</f>
        <v/>
      </c>
    </row>
    <row r="74">
      <c r="A74" s="15">
        <f>원데이터!A74</f>
        <v/>
      </c>
      <c r="B74" s="14">
        <f>원데이터!A74-DATE(YEAR(원데이터!A74),1,1)+1</f>
        <v/>
      </c>
      <c r="C74" s="17">
        <f>(원데이터!B74+원데이터!C74)/2</f>
        <v/>
      </c>
      <c r="D74" s="12">
        <f>0.6108*EXP(17.27*원데이터!B74/(원데이터!B74+237.3))</f>
        <v/>
      </c>
      <c r="E74" s="12">
        <f>0.6108*EXP(17.27*원데이터!C74/(원데이터!C74+237.3))</f>
        <v/>
      </c>
      <c r="F74" s="12">
        <f>(D74+E74)/2</f>
        <v/>
      </c>
      <c r="G74" s="12">
        <f>IF(원데이터!H74&lt;&gt;"",원데이터!H74/10,IF(원데이터!I74&lt;&gt;"",0.6108*EXP(17.27*원데이터!I74/(원데이터!I74+237.3)),원데이터!E74/100*F74))</f>
        <v/>
      </c>
      <c r="H74" s="21">
        <f>4098*(0.6108*EXP(17.27*C74/(C74+237.3)))/(C74+237.3)^2</f>
        <v/>
      </c>
      <c r="I74" s="17">
        <f>IF(원데이터!J74&lt;&gt;"",원데이터!J74/10,101.3*((293-0.0065*설정!$B$3)/293)^5.26)</f>
        <v/>
      </c>
      <c r="J74" s="21">
        <f>0.000665*I74</f>
        <v/>
      </c>
      <c r="K74" s="18">
        <f>원데이터!G74*4.87/LN(67.8*설정!$B$4-5.42)</f>
        <v/>
      </c>
      <c r="L74" s="12">
        <f>1+0.033*COS(2*PI()*B74/365)</f>
        <v/>
      </c>
      <c r="M74" s="21">
        <f>0.409*SIN(2*PI()*B74/365-1.39)</f>
        <v/>
      </c>
      <c r="N74" s="21">
        <f>ACOS(-TAN(RADIANS(설정!$B$2))*TAN(M74))</f>
        <v/>
      </c>
      <c r="O74" s="18">
        <f>(24*60/PI())*0.082*L74*(N74*SIN(RADIANS(설정!$B$2))*SIN(M74)+COS(RADIANS(설정!$B$2))*COS(M74)*SIN(N74))</f>
        <v/>
      </c>
      <c r="P74" s="18">
        <f>(0.75+0.00002*설정!$B$3)*O74</f>
        <v/>
      </c>
      <c r="Q74" s="18">
        <f>IF(원데이터!K74&lt;&gt;"",원데이터!K74,(0.25+0.5*원데이터!L74/(24/PI()*N74))*O74)</f>
        <v/>
      </c>
      <c r="R74" s="18">
        <f>0.77*Q74</f>
        <v/>
      </c>
      <c r="S74" s="18">
        <f>0.000000004903*(((원데이터!B74+273.16)^4+(원데이터!C74+273.16)^4)/2)*(0.34-0.14*SQRT(G74))*(1.35*MIN(Q74/P74,1)-0.35)</f>
        <v/>
      </c>
      <c r="T74" s="18">
        <f>R74-S74</f>
        <v/>
      </c>
      <c r="U74" s="18">
        <f>(0.408*H74*T74+J74*(900/(C74+273))*K74*(F74-G74))/(H74+J74*(1+0.34*K74))</f>
        <v/>
      </c>
      <c r="V74" s="11">
        <f>IF(원데이터!A74-설정!$B$16&lt;0,"발아전",IF(원데이터!A74-설정!$B$16&lt;설정!$B$17,"초기",IF(원데이터!A74-설정!$B$16&lt;설정!$B$17+설정!$B$18,"발육",IF(원데이터!A74-설정!$B$16&lt;설정!$B$17+설정!$B$18+설정!$B$19,"중기",IF(원데이터!A74-설정!$B$16&lt;설정!$B$17+설정!$B$18+설정!$B$19+설정!$B$20,"후기","후기이후")))))</f>
        <v/>
      </c>
      <c r="W74" s="12">
        <f>IF(원데이터!A74-설정!$B$16&lt;0,0,IF(원데이터!A74-설정!$B$16&lt;설정!$B$17,설정!$B$33,IF(원데이터!A74-설정!$B$16&lt;설정!$B$17+설정!$B$18,설정!$B$33+(설정!$B$34-설정!$B$33)*(원데이터!A74-설정!$B$16-설정!$B$17+1)/설정!$B$18,IF(원데이터!A74-설정!$B$16&lt;설정!$B$17+설정!$B$18+설정!$B$19,설정!$B$34,IF(원데이터!A74-설정!$B$16&lt;설정!$B$17+설정!$B$18+설정!$B$19+설정!$B$20,설정!$B$34+(설정!$B$35-설정!$B$34)*(원데이터!A74-설정!$B$16-설정!$B$17-설정!$B$18-설정!$B$19+1)/설정!$B$20,0)))))</f>
        <v/>
      </c>
      <c r="X74" s="12">
        <f>0.108-0.0286*K74+0.0422*LN(설정!$B$5)+0.1434*LN(원데이터!E74)-0.000631*LN(설정!$B$5)^2*LN(원데이터!E74)</f>
        <v/>
      </c>
      <c r="Y74" s="17">
        <f>원데이터!M74</f>
        <v/>
      </c>
      <c r="Z74" s="18">
        <f>X74*Y74</f>
        <v/>
      </c>
      <c r="AA74" s="18">
        <f>U74*W74</f>
        <v/>
      </c>
      <c r="AB74" s="18">
        <f>Z74*W74</f>
        <v/>
      </c>
    </row>
    <row r="75">
      <c r="A75" s="15">
        <f>원데이터!A75</f>
        <v/>
      </c>
      <c r="B75" s="14">
        <f>원데이터!A75-DATE(YEAR(원데이터!A75),1,1)+1</f>
        <v/>
      </c>
      <c r="C75" s="17">
        <f>(원데이터!B75+원데이터!C75)/2</f>
        <v/>
      </c>
      <c r="D75" s="12">
        <f>0.6108*EXP(17.27*원데이터!B75/(원데이터!B75+237.3))</f>
        <v/>
      </c>
      <c r="E75" s="12">
        <f>0.6108*EXP(17.27*원데이터!C75/(원데이터!C75+237.3))</f>
        <v/>
      </c>
      <c r="F75" s="12">
        <f>(D75+E75)/2</f>
        <v/>
      </c>
      <c r="G75" s="12">
        <f>IF(원데이터!H75&lt;&gt;"",원데이터!H75/10,IF(원데이터!I75&lt;&gt;"",0.6108*EXP(17.27*원데이터!I75/(원데이터!I75+237.3)),원데이터!E75/100*F75))</f>
        <v/>
      </c>
      <c r="H75" s="21">
        <f>4098*(0.6108*EXP(17.27*C75/(C75+237.3)))/(C75+237.3)^2</f>
        <v/>
      </c>
      <c r="I75" s="17">
        <f>IF(원데이터!J75&lt;&gt;"",원데이터!J75/10,101.3*((293-0.0065*설정!$B$3)/293)^5.26)</f>
        <v/>
      </c>
      <c r="J75" s="21">
        <f>0.000665*I75</f>
        <v/>
      </c>
      <c r="K75" s="18">
        <f>원데이터!G75*4.87/LN(67.8*설정!$B$4-5.42)</f>
        <v/>
      </c>
      <c r="L75" s="12">
        <f>1+0.033*COS(2*PI()*B75/365)</f>
        <v/>
      </c>
      <c r="M75" s="21">
        <f>0.409*SIN(2*PI()*B75/365-1.39)</f>
        <v/>
      </c>
      <c r="N75" s="21">
        <f>ACOS(-TAN(RADIANS(설정!$B$2))*TAN(M75))</f>
        <v/>
      </c>
      <c r="O75" s="18">
        <f>(24*60/PI())*0.082*L75*(N75*SIN(RADIANS(설정!$B$2))*SIN(M75)+COS(RADIANS(설정!$B$2))*COS(M75)*SIN(N75))</f>
        <v/>
      </c>
      <c r="P75" s="18">
        <f>(0.75+0.00002*설정!$B$3)*O75</f>
        <v/>
      </c>
      <c r="Q75" s="18">
        <f>IF(원데이터!K75&lt;&gt;"",원데이터!K75,(0.25+0.5*원데이터!L75/(24/PI()*N75))*O75)</f>
        <v/>
      </c>
      <c r="R75" s="18">
        <f>0.77*Q75</f>
        <v/>
      </c>
      <c r="S75" s="18">
        <f>0.000000004903*(((원데이터!B75+273.16)^4+(원데이터!C75+273.16)^4)/2)*(0.34-0.14*SQRT(G75))*(1.35*MIN(Q75/P75,1)-0.35)</f>
        <v/>
      </c>
      <c r="T75" s="18">
        <f>R75-S75</f>
        <v/>
      </c>
      <c r="U75" s="18">
        <f>(0.408*H75*T75+J75*(900/(C75+273))*K75*(F75-G75))/(H75+J75*(1+0.34*K75))</f>
        <v/>
      </c>
      <c r="V75" s="11">
        <f>IF(원데이터!A75-설정!$B$16&lt;0,"발아전",IF(원데이터!A75-설정!$B$16&lt;설정!$B$17,"초기",IF(원데이터!A75-설정!$B$16&lt;설정!$B$17+설정!$B$18,"발육",IF(원데이터!A75-설정!$B$16&lt;설정!$B$17+설정!$B$18+설정!$B$19,"중기",IF(원데이터!A75-설정!$B$16&lt;설정!$B$17+설정!$B$18+설정!$B$19+설정!$B$20,"후기","후기이후")))))</f>
        <v/>
      </c>
      <c r="W75" s="12">
        <f>IF(원데이터!A75-설정!$B$16&lt;0,0,IF(원데이터!A75-설정!$B$16&lt;설정!$B$17,설정!$B$33,IF(원데이터!A75-설정!$B$16&lt;설정!$B$17+설정!$B$18,설정!$B$33+(설정!$B$34-설정!$B$33)*(원데이터!A75-설정!$B$16-설정!$B$17+1)/설정!$B$18,IF(원데이터!A75-설정!$B$16&lt;설정!$B$17+설정!$B$18+설정!$B$19,설정!$B$34,IF(원데이터!A75-설정!$B$16&lt;설정!$B$17+설정!$B$18+설정!$B$19+설정!$B$20,설정!$B$34+(설정!$B$35-설정!$B$34)*(원데이터!A75-설정!$B$16-설정!$B$17-설정!$B$18-설정!$B$19+1)/설정!$B$20,0)))))</f>
        <v/>
      </c>
      <c r="X75" s="12">
        <f>0.108-0.0286*K75+0.0422*LN(설정!$B$5)+0.1434*LN(원데이터!E75)-0.000631*LN(설정!$B$5)^2*LN(원데이터!E75)</f>
        <v/>
      </c>
      <c r="Y75" s="17">
        <f>원데이터!M75</f>
        <v/>
      </c>
      <c r="Z75" s="18">
        <f>X75*Y75</f>
        <v/>
      </c>
      <c r="AA75" s="18">
        <f>U75*W75</f>
        <v/>
      </c>
      <c r="AB75" s="18">
        <f>Z75*W75</f>
        <v/>
      </c>
    </row>
    <row r="76">
      <c r="A76" s="15">
        <f>원데이터!A76</f>
        <v/>
      </c>
      <c r="B76" s="14">
        <f>원데이터!A76-DATE(YEAR(원데이터!A76),1,1)+1</f>
        <v/>
      </c>
      <c r="C76" s="17">
        <f>(원데이터!B76+원데이터!C76)/2</f>
        <v/>
      </c>
      <c r="D76" s="12">
        <f>0.6108*EXP(17.27*원데이터!B76/(원데이터!B76+237.3))</f>
        <v/>
      </c>
      <c r="E76" s="12">
        <f>0.6108*EXP(17.27*원데이터!C76/(원데이터!C76+237.3))</f>
        <v/>
      </c>
      <c r="F76" s="12">
        <f>(D76+E76)/2</f>
        <v/>
      </c>
      <c r="G76" s="12">
        <f>IF(원데이터!H76&lt;&gt;"",원데이터!H76/10,IF(원데이터!I76&lt;&gt;"",0.6108*EXP(17.27*원데이터!I76/(원데이터!I76+237.3)),원데이터!E76/100*F76))</f>
        <v/>
      </c>
      <c r="H76" s="21">
        <f>4098*(0.6108*EXP(17.27*C76/(C76+237.3)))/(C76+237.3)^2</f>
        <v/>
      </c>
      <c r="I76" s="17">
        <f>IF(원데이터!J76&lt;&gt;"",원데이터!J76/10,101.3*((293-0.0065*설정!$B$3)/293)^5.26)</f>
        <v/>
      </c>
      <c r="J76" s="21">
        <f>0.000665*I76</f>
        <v/>
      </c>
      <c r="K76" s="18">
        <f>원데이터!G76*4.87/LN(67.8*설정!$B$4-5.42)</f>
        <v/>
      </c>
      <c r="L76" s="12">
        <f>1+0.033*COS(2*PI()*B76/365)</f>
        <v/>
      </c>
      <c r="M76" s="21">
        <f>0.409*SIN(2*PI()*B76/365-1.39)</f>
        <v/>
      </c>
      <c r="N76" s="21">
        <f>ACOS(-TAN(RADIANS(설정!$B$2))*TAN(M76))</f>
        <v/>
      </c>
      <c r="O76" s="18">
        <f>(24*60/PI())*0.082*L76*(N76*SIN(RADIANS(설정!$B$2))*SIN(M76)+COS(RADIANS(설정!$B$2))*COS(M76)*SIN(N76))</f>
        <v/>
      </c>
      <c r="P76" s="18">
        <f>(0.75+0.00002*설정!$B$3)*O76</f>
        <v/>
      </c>
      <c r="Q76" s="18">
        <f>IF(원데이터!K76&lt;&gt;"",원데이터!K76,(0.25+0.5*원데이터!L76/(24/PI()*N76))*O76)</f>
        <v/>
      </c>
      <c r="R76" s="18">
        <f>0.77*Q76</f>
        <v/>
      </c>
      <c r="S76" s="18">
        <f>0.000000004903*(((원데이터!B76+273.16)^4+(원데이터!C76+273.16)^4)/2)*(0.34-0.14*SQRT(G76))*(1.35*MIN(Q76/P76,1)-0.35)</f>
        <v/>
      </c>
      <c r="T76" s="18">
        <f>R76-S76</f>
        <v/>
      </c>
      <c r="U76" s="18">
        <f>(0.408*H76*T76+J76*(900/(C76+273))*K76*(F76-G76))/(H76+J76*(1+0.34*K76))</f>
        <v/>
      </c>
      <c r="V76" s="11">
        <f>IF(원데이터!A76-설정!$B$16&lt;0,"발아전",IF(원데이터!A76-설정!$B$16&lt;설정!$B$17,"초기",IF(원데이터!A76-설정!$B$16&lt;설정!$B$17+설정!$B$18,"발육",IF(원데이터!A76-설정!$B$16&lt;설정!$B$17+설정!$B$18+설정!$B$19,"중기",IF(원데이터!A76-설정!$B$16&lt;설정!$B$17+설정!$B$18+설정!$B$19+설정!$B$20,"후기","후기이후")))))</f>
        <v/>
      </c>
      <c r="W76" s="12">
        <f>IF(원데이터!A76-설정!$B$16&lt;0,0,IF(원데이터!A76-설정!$B$16&lt;설정!$B$17,설정!$B$33,IF(원데이터!A76-설정!$B$16&lt;설정!$B$17+설정!$B$18,설정!$B$33+(설정!$B$34-설정!$B$33)*(원데이터!A76-설정!$B$16-설정!$B$17+1)/설정!$B$18,IF(원데이터!A76-설정!$B$16&lt;설정!$B$17+설정!$B$18+설정!$B$19,설정!$B$34,IF(원데이터!A76-설정!$B$16&lt;설정!$B$17+설정!$B$18+설정!$B$19+설정!$B$20,설정!$B$34+(설정!$B$35-설정!$B$34)*(원데이터!A76-설정!$B$16-설정!$B$17-설정!$B$18-설정!$B$19+1)/설정!$B$20,0)))))</f>
        <v/>
      </c>
      <c r="X76" s="12">
        <f>0.108-0.0286*K76+0.0422*LN(설정!$B$5)+0.1434*LN(원데이터!E76)-0.000631*LN(설정!$B$5)^2*LN(원데이터!E76)</f>
        <v/>
      </c>
      <c r="Y76" s="17">
        <f>원데이터!M76</f>
        <v/>
      </c>
      <c r="Z76" s="18">
        <f>X76*Y76</f>
        <v/>
      </c>
      <c r="AA76" s="18">
        <f>U76*W76</f>
        <v/>
      </c>
      <c r="AB76" s="18">
        <f>Z76*W76</f>
        <v/>
      </c>
    </row>
    <row r="77">
      <c r="A77" s="15">
        <f>원데이터!A77</f>
        <v/>
      </c>
      <c r="B77" s="14">
        <f>원데이터!A77-DATE(YEAR(원데이터!A77),1,1)+1</f>
        <v/>
      </c>
      <c r="C77" s="17">
        <f>(원데이터!B77+원데이터!C77)/2</f>
        <v/>
      </c>
      <c r="D77" s="12">
        <f>0.6108*EXP(17.27*원데이터!B77/(원데이터!B77+237.3))</f>
        <v/>
      </c>
      <c r="E77" s="12">
        <f>0.6108*EXP(17.27*원데이터!C77/(원데이터!C77+237.3))</f>
        <v/>
      </c>
      <c r="F77" s="12">
        <f>(D77+E77)/2</f>
        <v/>
      </c>
      <c r="G77" s="12">
        <f>IF(원데이터!H77&lt;&gt;"",원데이터!H77/10,IF(원데이터!I77&lt;&gt;"",0.6108*EXP(17.27*원데이터!I77/(원데이터!I77+237.3)),원데이터!E77/100*F77))</f>
        <v/>
      </c>
      <c r="H77" s="21">
        <f>4098*(0.6108*EXP(17.27*C77/(C77+237.3)))/(C77+237.3)^2</f>
        <v/>
      </c>
      <c r="I77" s="17">
        <f>IF(원데이터!J77&lt;&gt;"",원데이터!J77/10,101.3*((293-0.0065*설정!$B$3)/293)^5.26)</f>
        <v/>
      </c>
      <c r="J77" s="21">
        <f>0.000665*I77</f>
        <v/>
      </c>
      <c r="K77" s="18">
        <f>원데이터!G77*4.87/LN(67.8*설정!$B$4-5.42)</f>
        <v/>
      </c>
      <c r="L77" s="12">
        <f>1+0.033*COS(2*PI()*B77/365)</f>
        <v/>
      </c>
      <c r="M77" s="21">
        <f>0.409*SIN(2*PI()*B77/365-1.39)</f>
        <v/>
      </c>
      <c r="N77" s="21">
        <f>ACOS(-TAN(RADIANS(설정!$B$2))*TAN(M77))</f>
        <v/>
      </c>
      <c r="O77" s="18">
        <f>(24*60/PI())*0.082*L77*(N77*SIN(RADIANS(설정!$B$2))*SIN(M77)+COS(RADIANS(설정!$B$2))*COS(M77)*SIN(N77))</f>
        <v/>
      </c>
      <c r="P77" s="18">
        <f>(0.75+0.00002*설정!$B$3)*O77</f>
        <v/>
      </c>
      <c r="Q77" s="18">
        <f>IF(원데이터!K77&lt;&gt;"",원데이터!K77,(0.25+0.5*원데이터!L77/(24/PI()*N77))*O77)</f>
        <v/>
      </c>
      <c r="R77" s="18">
        <f>0.77*Q77</f>
        <v/>
      </c>
      <c r="S77" s="18">
        <f>0.000000004903*(((원데이터!B77+273.16)^4+(원데이터!C77+273.16)^4)/2)*(0.34-0.14*SQRT(G77))*(1.35*MIN(Q77/P77,1)-0.35)</f>
        <v/>
      </c>
      <c r="T77" s="18">
        <f>R77-S77</f>
        <v/>
      </c>
      <c r="U77" s="18">
        <f>(0.408*H77*T77+J77*(900/(C77+273))*K77*(F77-G77))/(H77+J77*(1+0.34*K77))</f>
        <v/>
      </c>
      <c r="V77" s="11">
        <f>IF(원데이터!A77-설정!$B$16&lt;0,"발아전",IF(원데이터!A77-설정!$B$16&lt;설정!$B$17,"초기",IF(원데이터!A77-설정!$B$16&lt;설정!$B$17+설정!$B$18,"발육",IF(원데이터!A77-설정!$B$16&lt;설정!$B$17+설정!$B$18+설정!$B$19,"중기",IF(원데이터!A77-설정!$B$16&lt;설정!$B$17+설정!$B$18+설정!$B$19+설정!$B$20,"후기","후기이후")))))</f>
        <v/>
      </c>
      <c r="W77" s="12">
        <f>IF(원데이터!A77-설정!$B$16&lt;0,0,IF(원데이터!A77-설정!$B$16&lt;설정!$B$17,설정!$B$33,IF(원데이터!A77-설정!$B$16&lt;설정!$B$17+설정!$B$18,설정!$B$33+(설정!$B$34-설정!$B$33)*(원데이터!A77-설정!$B$16-설정!$B$17+1)/설정!$B$18,IF(원데이터!A77-설정!$B$16&lt;설정!$B$17+설정!$B$18+설정!$B$19,설정!$B$34,IF(원데이터!A77-설정!$B$16&lt;설정!$B$17+설정!$B$18+설정!$B$19+설정!$B$20,설정!$B$34+(설정!$B$35-설정!$B$34)*(원데이터!A77-설정!$B$16-설정!$B$17-설정!$B$18-설정!$B$19+1)/설정!$B$20,0)))))</f>
        <v/>
      </c>
      <c r="X77" s="12">
        <f>0.108-0.0286*K77+0.0422*LN(설정!$B$5)+0.1434*LN(원데이터!E77)-0.000631*LN(설정!$B$5)^2*LN(원데이터!E77)</f>
        <v/>
      </c>
      <c r="Y77" s="17">
        <f>원데이터!M77</f>
        <v/>
      </c>
      <c r="Z77" s="18">
        <f>X77*Y77</f>
        <v/>
      </c>
      <c r="AA77" s="18">
        <f>U77*W77</f>
        <v/>
      </c>
      <c r="AB77" s="18">
        <f>Z77*W77</f>
        <v/>
      </c>
    </row>
    <row r="78">
      <c r="A78" s="15">
        <f>원데이터!A78</f>
        <v/>
      </c>
      <c r="B78" s="14">
        <f>원데이터!A78-DATE(YEAR(원데이터!A78),1,1)+1</f>
        <v/>
      </c>
      <c r="C78" s="17">
        <f>(원데이터!B78+원데이터!C78)/2</f>
        <v/>
      </c>
      <c r="D78" s="12">
        <f>0.6108*EXP(17.27*원데이터!B78/(원데이터!B78+237.3))</f>
        <v/>
      </c>
      <c r="E78" s="12">
        <f>0.6108*EXP(17.27*원데이터!C78/(원데이터!C78+237.3))</f>
        <v/>
      </c>
      <c r="F78" s="12">
        <f>(D78+E78)/2</f>
        <v/>
      </c>
      <c r="G78" s="12">
        <f>IF(원데이터!H78&lt;&gt;"",원데이터!H78/10,IF(원데이터!I78&lt;&gt;"",0.6108*EXP(17.27*원데이터!I78/(원데이터!I78+237.3)),원데이터!E78/100*F78))</f>
        <v/>
      </c>
      <c r="H78" s="21">
        <f>4098*(0.6108*EXP(17.27*C78/(C78+237.3)))/(C78+237.3)^2</f>
        <v/>
      </c>
      <c r="I78" s="17">
        <f>IF(원데이터!J78&lt;&gt;"",원데이터!J78/10,101.3*((293-0.0065*설정!$B$3)/293)^5.26)</f>
        <v/>
      </c>
      <c r="J78" s="21">
        <f>0.000665*I78</f>
        <v/>
      </c>
      <c r="K78" s="18">
        <f>원데이터!G78*4.87/LN(67.8*설정!$B$4-5.42)</f>
        <v/>
      </c>
      <c r="L78" s="12">
        <f>1+0.033*COS(2*PI()*B78/365)</f>
        <v/>
      </c>
      <c r="M78" s="21">
        <f>0.409*SIN(2*PI()*B78/365-1.39)</f>
        <v/>
      </c>
      <c r="N78" s="21">
        <f>ACOS(-TAN(RADIANS(설정!$B$2))*TAN(M78))</f>
        <v/>
      </c>
      <c r="O78" s="18">
        <f>(24*60/PI())*0.082*L78*(N78*SIN(RADIANS(설정!$B$2))*SIN(M78)+COS(RADIANS(설정!$B$2))*COS(M78)*SIN(N78))</f>
        <v/>
      </c>
      <c r="P78" s="18">
        <f>(0.75+0.00002*설정!$B$3)*O78</f>
        <v/>
      </c>
      <c r="Q78" s="18">
        <f>IF(원데이터!K78&lt;&gt;"",원데이터!K78,(0.25+0.5*원데이터!L78/(24/PI()*N78))*O78)</f>
        <v/>
      </c>
      <c r="R78" s="18">
        <f>0.77*Q78</f>
        <v/>
      </c>
      <c r="S78" s="18">
        <f>0.000000004903*(((원데이터!B78+273.16)^4+(원데이터!C78+273.16)^4)/2)*(0.34-0.14*SQRT(G78))*(1.35*MIN(Q78/P78,1)-0.35)</f>
        <v/>
      </c>
      <c r="T78" s="18">
        <f>R78-S78</f>
        <v/>
      </c>
      <c r="U78" s="18">
        <f>(0.408*H78*T78+J78*(900/(C78+273))*K78*(F78-G78))/(H78+J78*(1+0.34*K78))</f>
        <v/>
      </c>
      <c r="V78" s="11">
        <f>IF(원데이터!A78-설정!$B$16&lt;0,"발아전",IF(원데이터!A78-설정!$B$16&lt;설정!$B$17,"초기",IF(원데이터!A78-설정!$B$16&lt;설정!$B$17+설정!$B$18,"발육",IF(원데이터!A78-설정!$B$16&lt;설정!$B$17+설정!$B$18+설정!$B$19,"중기",IF(원데이터!A78-설정!$B$16&lt;설정!$B$17+설정!$B$18+설정!$B$19+설정!$B$20,"후기","후기이후")))))</f>
        <v/>
      </c>
      <c r="W78" s="12">
        <f>IF(원데이터!A78-설정!$B$16&lt;0,0,IF(원데이터!A78-설정!$B$16&lt;설정!$B$17,설정!$B$33,IF(원데이터!A78-설정!$B$16&lt;설정!$B$17+설정!$B$18,설정!$B$33+(설정!$B$34-설정!$B$33)*(원데이터!A78-설정!$B$16-설정!$B$17+1)/설정!$B$18,IF(원데이터!A78-설정!$B$16&lt;설정!$B$17+설정!$B$18+설정!$B$19,설정!$B$34,IF(원데이터!A78-설정!$B$16&lt;설정!$B$17+설정!$B$18+설정!$B$19+설정!$B$20,설정!$B$34+(설정!$B$35-설정!$B$34)*(원데이터!A78-설정!$B$16-설정!$B$17-설정!$B$18-설정!$B$19+1)/설정!$B$20,0)))))</f>
        <v/>
      </c>
      <c r="X78" s="12">
        <f>0.108-0.0286*K78+0.0422*LN(설정!$B$5)+0.1434*LN(원데이터!E78)-0.000631*LN(설정!$B$5)^2*LN(원데이터!E78)</f>
        <v/>
      </c>
      <c r="Y78" s="17">
        <f>원데이터!M78</f>
        <v/>
      </c>
      <c r="Z78" s="18">
        <f>X78*Y78</f>
        <v/>
      </c>
      <c r="AA78" s="18">
        <f>U78*W78</f>
        <v/>
      </c>
      <c r="AB78" s="18">
        <f>Z78*W78</f>
        <v/>
      </c>
    </row>
    <row r="79">
      <c r="A79" s="15">
        <f>원데이터!A79</f>
        <v/>
      </c>
      <c r="B79" s="14">
        <f>원데이터!A79-DATE(YEAR(원데이터!A79),1,1)+1</f>
        <v/>
      </c>
      <c r="C79" s="17">
        <f>(원데이터!B79+원데이터!C79)/2</f>
        <v/>
      </c>
      <c r="D79" s="12">
        <f>0.6108*EXP(17.27*원데이터!B79/(원데이터!B79+237.3))</f>
        <v/>
      </c>
      <c r="E79" s="12">
        <f>0.6108*EXP(17.27*원데이터!C79/(원데이터!C79+237.3))</f>
        <v/>
      </c>
      <c r="F79" s="12">
        <f>(D79+E79)/2</f>
        <v/>
      </c>
      <c r="G79" s="12">
        <f>IF(원데이터!H79&lt;&gt;"",원데이터!H79/10,IF(원데이터!I79&lt;&gt;"",0.6108*EXP(17.27*원데이터!I79/(원데이터!I79+237.3)),원데이터!E79/100*F79))</f>
        <v/>
      </c>
      <c r="H79" s="21">
        <f>4098*(0.6108*EXP(17.27*C79/(C79+237.3)))/(C79+237.3)^2</f>
        <v/>
      </c>
      <c r="I79" s="17">
        <f>IF(원데이터!J79&lt;&gt;"",원데이터!J79/10,101.3*((293-0.0065*설정!$B$3)/293)^5.26)</f>
        <v/>
      </c>
      <c r="J79" s="21">
        <f>0.000665*I79</f>
        <v/>
      </c>
      <c r="K79" s="18">
        <f>원데이터!G79*4.87/LN(67.8*설정!$B$4-5.42)</f>
        <v/>
      </c>
      <c r="L79" s="12">
        <f>1+0.033*COS(2*PI()*B79/365)</f>
        <v/>
      </c>
      <c r="M79" s="21">
        <f>0.409*SIN(2*PI()*B79/365-1.39)</f>
        <v/>
      </c>
      <c r="N79" s="21">
        <f>ACOS(-TAN(RADIANS(설정!$B$2))*TAN(M79))</f>
        <v/>
      </c>
      <c r="O79" s="18">
        <f>(24*60/PI())*0.082*L79*(N79*SIN(RADIANS(설정!$B$2))*SIN(M79)+COS(RADIANS(설정!$B$2))*COS(M79)*SIN(N79))</f>
        <v/>
      </c>
      <c r="P79" s="18">
        <f>(0.75+0.00002*설정!$B$3)*O79</f>
        <v/>
      </c>
      <c r="Q79" s="18">
        <f>IF(원데이터!K79&lt;&gt;"",원데이터!K79,(0.25+0.5*원데이터!L79/(24/PI()*N79))*O79)</f>
        <v/>
      </c>
      <c r="R79" s="18">
        <f>0.77*Q79</f>
        <v/>
      </c>
      <c r="S79" s="18">
        <f>0.000000004903*(((원데이터!B79+273.16)^4+(원데이터!C79+273.16)^4)/2)*(0.34-0.14*SQRT(G79))*(1.35*MIN(Q79/P79,1)-0.35)</f>
        <v/>
      </c>
      <c r="T79" s="18">
        <f>R79-S79</f>
        <v/>
      </c>
      <c r="U79" s="18">
        <f>(0.408*H79*T79+J79*(900/(C79+273))*K79*(F79-G79))/(H79+J79*(1+0.34*K79))</f>
        <v/>
      </c>
      <c r="V79" s="11">
        <f>IF(원데이터!A79-설정!$B$16&lt;0,"발아전",IF(원데이터!A79-설정!$B$16&lt;설정!$B$17,"초기",IF(원데이터!A79-설정!$B$16&lt;설정!$B$17+설정!$B$18,"발육",IF(원데이터!A79-설정!$B$16&lt;설정!$B$17+설정!$B$18+설정!$B$19,"중기",IF(원데이터!A79-설정!$B$16&lt;설정!$B$17+설정!$B$18+설정!$B$19+설정!$B$20,"후기","후기이후")))))</f>
        <v/>
      </c>
      <c r="W79" s="12">
        <f>IF(원데이터!A79-설정!$B$16&lt;0,0,IF(원데이터!A79-설정!$B$16&lt;설정!$B$17,설정!$B$33,IF(원데이터!A79-설정!$B$16&lt;설정!$B$17+설정!$B$18,설정!$B$33+(설정!$B$34-설정!$B$33)*(원데이터!A79-설정!$B$16-설정!$B$17+1)/설정!$B$18,IF(원데이터!A79-설정!$B$16&lt;설정!$B$17+설정!$B$18+설정!$B$19,설정!$B$34,IF(원데이터!A79-설정!$B$16&lt;설정!$B$17+설정!$B$18+설정!$B$19+설정!$B$20,설정!$B$34+(설정!$B$35-설정!$B$34)*(원데이터!A79-설정!$B$16-설정!$B$17-설정!$B$18-설정!$B$19+1)/설정!$B$20,0)))))</f>
        <v/>
      </c>
      <c r="X79" s="12">
        <f>0.108-0.0286*K79+0.0422*LN(설정!$B$5)+0.1434*LN(원데이터!E79)-0.000631*LN(설정!$B$5)^2*LN(원데이터!E79)</f>
        <v/>
      </c>
      <c r="Y79" s="17">
        <f>원데이터!M79</f>
        <v/>
      </c>
      <c r="Z79" s="18">
        <f>X79*Y79</f>
        <v/>
      </c>
      <c r="AA79" s="18">
        <f>U79*W79</f>
        <v/>
      </c>
      <c r="AB79" s="18">
        <f>Z79*W79</f>
        <v/>
      </c>
    </row>
    <row r="80">
      <c r="A80" s="15">
        <f>원데이터!A80</f>
        <v/>
      </c>
      <c r="B80" s="14">
        <f>원데이터!A80-DATE(YEAR(원데이터!A80),1,1)+1</f>
        <v/>
      </c>
      <c r="C80" s="17">
        <f>(원데이터!B80+원데이터!C80)/2</f>
        <v/>
      </c>
      <c r="D80" s="12">
        <f>0.6108*EXP(17.27*원데이터!B80/(원데이터!B80+237.3))</f>
        <v/>
      </c>
      <c r="E80" s="12">
        <f>0.6108*EXP(17.27*원데이터!C80/(원데이터!C80+237.3))</f>
        <v/>
      </c>
      <c r="F80" s="12">
        <f>(D80+E80)/2</f>
        <v/>
      </c>
      <c r="G80" s="12">
        <f>IF(원데이터!H80&lt;&gt;"",원데이터!H80/10,IF(원데이터!I80&lt;&gt;"",0.6108*EXP(17.27*원데이터!I80/(원데이터!I80+237.3)),원데이터!E80/100*F80))</f>
        <v/>
      </c>
      <c r="H80" s="21">
        <f>4098*(0.6108*EXP(17.27*C80/(C80+237.3)))/(C80+237.3)^2</f>
        <v/>
      </c>
      <c r="I80" s="17">
        <f>IF(원데이터!J80&lt;&gt;"",원데이터!J80/10,101.3*((293-0.0065*설정!$B$3)/293)^5.26)</f>
        <v/>
      </c>
      <c r="J80" s="21">
        <f>0.000665*I80</f>
        <v/>
      </c>
      <c r="K80" s="18">
        <f>원데이터!G80*4.87/LN(67.8*설정!$B$4-5.42)</f>
        <v/>
      </c>
      <c r="L80" s="12">
        <f>1+0.033*COS(2*PI()*B80/365)</f>
        <v/>
      </c>
      <c r="M80" s="21">
        <f>0.409*SIN(2*PI()*B80/365-1.39)</f>
        <v/>
      </c>
      <c r="N80" s="21">
        <f>ACOS(-TAN(RADIANS(설정!$B$2))*TAN(M80))</f>
        <v/>
      </c>
      <c r="O80" s="18">
        <f>(24*60/PI())*0.082*L80*(N80*SIN(RADIANS(설정!$B$2))*SIN(M80)+COS(RADIANS(설정!$B$2))*COS(M80)*SIN(N80))</f>
        <v/>
      </c>
      <c r="P80" s="18">
        <f>(0.75+0.00002*설정!$B$3)*O80</f>
        <v/>
      </c>
      <c r="Q80" s="18">
        <f>IF(원데이터!K80&lt;&gt;"",원데이터!K80,(0.25+0.5*원데이터!L80/(24/PI()*N80))*O80)</f>
        <v/>
      </c>
      <c r="R80" s="18">
        <f>0.77*Q80</f>
        <v/>
      </c>
      <c r="S80" s="18">
        <f>0.000000004903*(((원데이터!B80+273.16)^4+(원데이터!C80+273.16)^4)/2)*(0.34-0.14*SQRT(G80))*(1.35*MIN(Q80/P80,1)-0.35)</f>
        <v/>
      </c>
      <c r="T80" s="18">
        <f>R80-S80</f>
        <v/>
      </c>
      <c r="U80" s="18">
        <f>(0.408*H80*T80+J80*(900/(C80+273))*K80*(F80-G80))/(H80+J80*(1+0.34*K80))</f>
        <v/>
      </c>
      <c r="V80" s="11">
        <f>IF(원데이터!A80-설정!$B$16&lt;0,"발아전",IF(원데이터!A80-설정!$B$16&lt;설정!$B$17,"초기",IF(원데이터!A80-설정!$B$16&lt;설정!$B$17+설정!$B$18,"발육",IF(원데이터!A80-설정!$B$16&lt;설정!$B$17+설정!$B$18+설정!$B$19,"중기",IF(원데이터!A80-설정!$B$16&lt;설정!$B$17+설정!$B$18+설정!$B$19+설정!$B$20,"후기","후기이후")))))</f>
        <v/>
      </c>
      <c r="W80" s="12">
        <f>IF(원데이터!A80-설정!$B$16&lt;0,0,IF(원데이터!A80-설정!$B$16&lt;설정!$B$17,설정!$B$33,IF(원데이터!A80-설정!$B$16&lt;설정!$B$17+설정!$B$18,설정!$B$33+(설정!$B$34-설정!$B$33)*(원데이터!A80-설정!$B$16-설정!$B$17+1)/설정!$B$18,IF(원데이터!A80-설정!$B$16&lt;설정!$B$17+설정!$B$18+설정!$B$19,설정!$B$34,IF(원데이터!A80-설정!$B$16&lt;설정!$B$17+설정!$B$18+설정!$B$19+설정!$B$20,설정!$B$34+(설정!$B$35-설정!$B$34)*(원데이터!A80-설정!$B$16-설정!$B$17-설정!$B$18-설정!$B$19+1)/설정!$B$20,0)))))</f>
        <v/>
      </c>
      <c r="X80" s="12">
        <f>0.108-0.0286*K80+0.0422*LN(설정!$B$5)+0.1434*LN(원데이터!E80)-0.000631*LN(설정!$B$5)^2*LN(원데이터!E80)</f>
        <v/>
      </c>
      <c r="Y80" s="17">
        <f>원데이터!M80</f>
        <v/>
      </c>
      <c r="Z80" s="18">
        <f>X80*Y80</f>
        <v/>
      </c>
      <c r="AA80" s="18">
        <f>U80*W80</f>
        <v/>
      </c>
      <c r="AB80" s="18">
        <f>Z80*W80</f>
        <v/>
      </c>
    </row>
    <row r="81">
      <c r="A81" s="15">
        <f>원데이터!A81</f>
        <v/>
      </c>
      <c r="B81" s="14">
        <f>원데이터!A81-DATE(YEAR(원데이터!A81),1,1)+1</f>
        <v/>
      </c>
      <c r="C81" s="17">
        <f>(원데이터!B81+원데이터!C81)/2</f>
        <v/>
      </c>
      <c r="D81" s="12">
        <f>0.6108*EXP(17.27*원데이터!B81/(원데이터!B81+237.3))</f>
        <v/>
      </c>
      <c r="E81" s="12">
        <f>0.6108*EXP(17.27*원데이터!C81/(원데이터!C81+237.3))</f>
        <v/>
      </c>
      <c r="F81" s="12">
        <f>(D81+E81)/2</f>
        <v/>
      </c>
      <c r="G81" s="12">
        <f>IF(원데이터!H81&lt;&gt;"",원데이터!H81/10,IF(원데이터!I81&lt;&gt;"",0.6108*EXP(17.27*원데이터!I81/(원데이터!I81+237.3)),원데이터!E81/100*F81))</f>
        <v/>
      </c>
      <c r="H81" s="21">
        <f>4098*(0.6108*EXP(17.27*C81/(C81+237.3)))/(C81+237.3)^2</f>
        <v/>
      </c>
      <c r="I81" s="17">
        <f>IF(원데이터!J81&lt;&gt;"",원데이터!J81/10,101.3*((293-0.0065*설정!$B$3)/293)^5.26)</f>
        <v/>
      </c>
      <c r="J81" s="21">
        <f>0.000665*I81</f>
        <v/>
      </c>
      <c r="K81" s="18">
        <f>원데이터!G81*4.87/LN(67.8*설정!$B$4-5.42)</f>
        <v/>
      </c>
      <c r="L81" s="12">
        <f>1+0.033*COS(2*PI()*B81/365)</f>
        <v/>
      </c>
      <c r="M81" s="21">
        <f>0.409*SIN(2*PI()*B81/365-1.39)</f>
        <v/>
      </c>
      <c r="N81" s="21">
        <f>ACOS(-TAN(RADIANS(설정!$B$2))*TAN(M81))</f>
        <v/>
      </c>
      <c r="O81" s="18">
        <f>(24*60/PI())*0.082*L81*(N81*SIN(RADIANS(설정!$B$2))*SIN(M81)+COS(RADIANS(설정!$B$2))*COS(M81)*SIN(N81))</f>
        <v/>
      </c>
      <c r="P81" s="18">
        <f>(0.75+0.00002*설정!$B$3)*O81</f>
        <v/>
      </c>
      <c r="Q81" s="18">
        <f>IF(원데이터!K81&lt;&gt;"",원데이터!K81,(0.25+0.5*원데이터!L81/(24/PI()*N81))*O81)</f>
        <v/>
      </c>
      <c r="R81" s="18">
        <f>0.77*Q81</f>
        <v/>
      </c>
      <c r="S81" s="18">
        <f>0.000000004903*(((원데이터!B81+273.16)^4+(원데이터!C81+273.16)^4)/2)*(0.34-0.14*SQRT(G81))*(1.35*MIN(Q81/P81,1)-0.35)</f>
        <v/>
      </c>
      <c r="T81" s="18">
        <f>R81-S81</f>
        <v/>
      </c>
      <c r="U81" s="18">
        <f>(0.408*H81*T81+J81*(900/(C81+273))*K81*(F81-G81))/(H81+J81*(1+0.34*K81))</f>
        <v/>
      </c>
      <c r="V81" s="11">
        <f>IF(원데이터!A81-설정!$B$16&lt;0,"발아전",IF(원데이터!A81-설정!$B$16&lt;설정!$B$17,"초기",IF(원데이터!A81-설정!$B$16&lt;설정!$B$17+설정!$B$18,"발육",IF(원데이터!A81-설정!$B$16&lt;설정!$B$17+설정!$B$18+설정!$B$19,"중기",IF(원데이터!A81-설정!$B$16&lt;설정!$B$17+설정!$B$18+설정!$B$19+설정!$B$20,"후기","후기이후")))))</f>
        <v/>
      </c>
      <c r="W81" s="12">
        <f>IF(원데이터!A81-설정!$B$16&lt;0,0,IF(원데이터!A81-설정!$B$16&lt;설정!$B$17,설정!$B$33,IF(원데이터!A81-설정!$B$16&lt;설정!$B$17+설정!$B$18,설정!$B$33+(설정!$B$34-설정!$B$33)*(원데이터!A81-설정!$B$16-설정!$B$17+1)/설정!$B$18,IF(원데이터!A81-설정!$B$16&lt;설정!$B$17+설정!$B$18+설정!$B$19,설정!$B$34,IF(원데이터!A81-설정!$B$16&lt;설정!$B$17+설정!$B$18+설정!$B$19+설정!$B$20,설정!$B$34+(설정!$B$35-설정!$B$34)*(원데이터!A81-설정!$B$16-설정!$B$17-설정!$B$18-설정!$B$19+1)/설정!$B$20,0)))))</f>
        <v/>
      </c>
      <c r="X81" s="12">
        <f>0.108-0.0286*K81+0.0422*LN(설정!$B$5)+0.1434*LN(원데이터!E81)-0.000631*LN(설정!$B$5)^2*LN(원데이터!E81)</f>
        <v/>
      </c>
      <c r="Y81" s="17">
        <f>원데이터!M81</f>
        <v/>
      </c>
      <c r="Z81" s="18">
        <f>X81*Y81</f>
        <v/>
      </c>
      <c r="AA81" s="18">
        <f>U81*W81</f>
        <v/>
      </c>
      <c r="AB81" s="18">
        <f>Z81*W81</f>
        <v/>
      </c>
    </row>
    <row r="82">
      <c r="A82" s="15">
        <f>원데이터!A82</f>
        <v/>
      </c>
      <c r="B82" s="14">
        <f>원데이터!A82-DATE(YEAR(원데이터!A82),1,1)+1</f>
        <v/>
      </c>
      <c r="C82" s="17">
        <f>(원데이터!B82+원데이터!C82)/2</f>
        <v/>
      </c>
      <c r="D82" s="12">
        <f>0.6108*EXP(17.27*원데이터!B82/(원데이터!B82+237.3))</f>
        <v/>
      </c>
      <c r="E82" s="12">
        <f>0.6108*EXP(17.27*원데이터!C82/(원데이터!C82+237.3))</f>
        <v/>
      </c>
      <c r="F82" s="12">
        <f>(D82+E82)/2</f>
        <v/>
      </c>
      <c r="G82" s="12">
        <f>IF(원데이터!H82&lt;&gt;"",원데이터!H82/10,IF(원데이터!I82&lt;&gt;"",0.6108*EXP(17.27*원데이터!I82/(원데이터!I82+237.3)),원데이터!E82/100*F82))</f>
        <v/>
      </c>
      <c r="H82" s="21">
        <f>4098*(0.6108*EXP(17.27*C82/(C82+237.3)))/(C82+237.3)^2</f>
        <v/>
      </c>
      <c r="I82" s="17">
        <f>IF(원데이터!J82&lt;&gt;"",원데이터!J82/10,101.3*((293-0.0065*설정!$B$3)/293)^5.26)</f>
        <v/>
      </c>
      <c r="J82" s="21">
        <f>0.000665*I82</f>
        <v/>
      </c>
      <c r="K82" s="18">
        <f>원데이터!G82*4.87/LN(67.8*설정!$B$4-5.42)</f>
        <v/>
      </c>
      <c r="L82" s="12">
        <f>1+0.033*COS(2*PI()*B82/365)</f>
        <v/>
      </c>
      <c r="M82" s="21">
        <f>0.409*SIN(2*PI()*B82/365-1.39)</f>
        <v/>
      </c>
      <c r="N82" s="21">
        <f>ACOS(-TAN(RADIANS(설정!$B$2))*TAN(M82))</f>
        <v/>
      </c>
      <c r="O82" s="18">
        <f>(24*60/PI())*0.082*L82*(N82*SIN(RADIANS(설정!$B$2))*SIN(M82)+COS(RADIANS(설정!$B$2))*COS(M82)*SIN(N82))</f>
        <v/>
      </c>
      <c r="P82" s="18">
        <f>(0.75+0.00002*설정!$B$3)*O82</f>
        <v/>
      </c>
      <c r="Q82" s="18">
        <f>IF(원데이터!K82&lt;&gt;"",원데이터!K82,(0.25+0.5*원데이터!L82/(24/PI()*N82))*O82)</f>
        <v/>
      </c>
      <c r="R82" s="18">
        <f>0.77*Q82</f>
        <v/>
      </c>
      <c r="S82" s="18">
        <f>0.000000004903*(((원데이터!B82+273.16)^4+(원데이터!C82+273.16)^4)/2)*(0.34-0.14*SQRT(G82))*(1.35*MIN(Q82/P82,1)-0.35)</f>
        <v/>
      </c>
      <c r="T82" s="18">
        <f>R82-S82</f>
        <v/>
      </c>
      <c r="U82" s="18">
        <f>(0.408*H82*T82+J82*(900/(C82+273))*K82*(F82-G82))/(H82+J82*(1+0.34*K82))</f>
        <v/>
      </c>
      <c r="V82" s="11">
        <f>IF(원데이터!A82-설정!$B$16&lt;0,"발아전",IF(원데이터!A82-설정!$B$16&lt;설정!$B$17,"초기",IF(원데이터!A82-설정!$B$16&lt;설정!$B$17+설정!$B$18,"발육",IF(원데이터!A82-설정!$B$16&lt;설정!$B$17+설정!$B$18+설정!$B$19,"중기",IF(원데이터!A82-설정!$B$16&lt;설정!$B$17+설정!$B$18+설정!$B$19+설정!$B$20,"후기","후기이후")))))</f>
        <v/>
      </c>
      <c r="W82" s="12">
        <f>IF(원데이터!A82-설정!$B$16&lt;0,0,IF(원데이터!A82-설정!$B$16&lt;설정!$B$17,설정!$B$33,IF(원데이터!A82-설정!$B$16&lt;설정!$B$17+설정!$B$18,설정!$B$33+(설정!$B$34-설정!$B$33)*(원데이터!A82-설정!$B$16-설정!$B$17+1)/설정!$B$18,IF(원데이터!A82-설정!$B$16&lt;설정!$B$17+설정!$B$18+설정!$B$19,설정!$B$34,IF(원데이터!A82-설정!$B$16&lt;설정!$B$17+설정!$B$18+설정!$B$19+설정!$B$20,설정!$B$34+(설정!$B$35-설정!$B$34)*(원데이터!A82-설정!$B$16-설정!$B$17-설정!$B$18-설정!$B$19+1)/설정!$B$20,0)))))</f>
        <v/>
      </c>
      <c r="X82" s="12">
        <f>0.108-0.0286*K82+0.0422*LN(설정!$B$5)+0.1434*LN(원데이터!E82)-0.000631*LN(설정!$B$5)^2*LN(원데이터!E82)</f>
        <v/>
      </c>
      <c r="Y82" s="17">
        <f>원데이터!M82</f>
        <v/>
      </c>
      <c r="Z82" s="18">
        <f>X82*Y82</f>
        <v/>
      </c>
      <c r="AA82" s="18">
        <f>U82*W82</f>
        <v/>
      </c>
      <c r="AB82" s="18">
        <f>Z82*W82</f>
        <v/>
      </c>
    </row>
    <row r="83">
      <c r="A83" s="15">
        <f>원데이터!A83</f>
        <v/>
      </c>
      <c r="B83" s="14">
        <f>원데이터!A83-DATE(YEAR(원데이터!A83),1,1)+1</f>
        <v/>
      </c>
      <c r="C83" s="17">
        <f>(원데이터!B83+원데이터!C83)/2</f>
        <v/>
      </c>
      <c r="D83" s="12">
        <f>0.6108*EXP(17.27*원데이터!B83/(원데이터!B83+237.3))</f>
        <v/>
      </c>
      <c r="E83" s="12">
        <f>0.6108*EXP(17.27*원데이터!C83/(원데이터!C83+237.3))</f>
        <v/>
      </c>
      <c r="F83" s="12">
        <f>(D83+E83)/2</f>
        <v/>
      </c>
      <c r="G83" s="12">
        <f>IF(원데이터!H83&lt;&gt;"",원데이터!H83/10,IF(원데이터!I83&lt;&gt;"",0.6108*EXP(17.27*원데이터!I83/(원데이터!I83+237.3)),원데이터!E83/100*F83))</f>
        <v/>
      </c>
      <c r="H83" s="21">
        <f>4098*(0.6108*EXP(17.27*C83/(C83+237.3)))/(C83+237.3)^2</f>
        <v/>
      </c>
      <c r="I83" s="17">
        <f>IF(원데이터!J83&lt;&gt;"",원데이터!J83/10,101.3*((293-0.0065*설정!$B$3)/293)^5.26)</f>
        <v/>
      </c>
      <c r="J83" s="21">
        <f>0.000665*I83</f>
        <v/>
      </c>
      <c r="K83" s="18">
        <f>원데이터!G83*4.87/LN(67.8*설정!$B$4-5.42)</f>
        <v/>
      </c>
      <c r="L83" s="12">
        <f>1+0.033*COS(2*PI()*B83/365)</f>
        <v/>
      </c>
      <c r="M83" s="21">
        <f>0.409*SIN(2*PI()*B83/365-1.39)</f>
        <v/>
      </c>
      <c r="N83" s="21">
        <f>ACOS(-TAN(RADIANS(설정!$B$2))*TAN(M83))</f>
        <v/>
      </c>
      <c r="O83" s="18">
        <f>(24*60/PI())*0.082*L83*(N83*SIN(RADIANS(설정!$B$2))*SIN(M83)+COS(RADIANS(설정!$B$2))*COS(M83)*SIN(N83))</f>
        <v/>
      </c>
      <c r="P83" s="18">
        <f>(0.75+0.00002*설정!$B$3)*O83</f>
        <v/>
      </c>
      <c r="Q83" s="18">
        <f>IF(원데이터!K83&lt;&gt;"",원데이터!K83,(0.25+0.5*원데이터!L83/(24/PI()*N83))*O83)</f>
        <v/>
      </c>
      <c r="R83" s="18">
        <f>0.77*Q83</f>
        <v/>
      </c>
      <c r="S83" s="18">
        <f>0.000000004903*(((원데이터!B83+273.16)^4+(원데이터!C83+273.16)^4)/2)*(0.34-0.14*SQRT(G83))*(1.35*MIN(Q83/P83,1)-0.35)</f>
        <v/>
      </c>
      <c r="T83" s="18">
        <f>R83-S83</f>
        <v/>
      </c>
      <c r="U83" s="18">
        <f>(0.408*H83*T83+J83*(900/(C83+273))*K83*(F83-G83))/(H83+J83*(1+0.34*K83))</f>
        <v/>
      </c>
      <c r="V83" s="11">
        <f>IF(원데이터!A83-설정!$B$16&lt;0,"발아전",IF(원데이터!A83-설정!$B$16&lt;설정!$B$17,"초기",IF(원데이터!A83-설정!$B$16&lt;설정!$B$17+설정!$B$18,"발육",IF(원데이터!A83-설정!$B$16&lt;설정!$B$17+설정!$B$18+설정!$B$19,"중기",IF(원데이터!A83-설정!$B$16&lt;설정!$B$17+설정!$B$18+설정!$B$19+설정!$B$20,"후기","후기이후")))))</f>
        <v/>
      </c>
      <c r="W83" s="12">
        <f>IF(원데이터!A83-설정!$B$16&lt;0,0,IF(원데이터!A83-설정!$B$16&lt;설정!$B$17,설정!$B$33,IF(원데이터!A83-설정!$B$16&lt;설정!$B$17+설정!$B$18,설정!$B$33+(설정!$B$34-설정!$B$33)*(원데이터!A83-설정!$B$16-설정!$B$17+1)/설정!$B$18,IF(원데이터!A83-설정!$B$16&lt;설정!$B$17+설정!$B$18+설정!$B$19,설정!$B$34,IF(원데이터!A83-설정!$B$16&lt;설정!$B$17+설정!$B$18+설정!$B$19+설정!$B$20,설정!$B$34+(설정!$B$35-설정!$B$34)*(원데이터!A83-설정!$B$16-설정!$B$17-설정!$B$18-설정!$B$19+1)/설정!$B$20,0)))))</f>
        <v/>
      </c>
      <c r="X83" s="12">
        <f>0.108-0.0286*K83+0.0422*LN(설정!$B$5)+0.1434*LN(원데이터!E83)-0.000631*LN(설정!$B$5)^2*LN(원데이터!E83)</f>
        <v/>
      </c>
      <c r="Y83" s="17">
        <f>원데이터!M83</f>
        <v/>
      </c>
      <c r="Z83" s="18">
        <f>X83*Y83</f>
        <v/>
      </c>
      <c r="AA83" s="18">
        <f>U83*W83</f>
        <v/>
      </c>
      <c r="AB83" s="18">
        <f>Z83*W83</f>
        <v/>
      </c>
    </row>
    <row r="84">
      <c r="A84" s="15">
        <f>원데이터!A84</f>
        <v/>
      </c>
      <c r="B84" s="14">
        <f>원데이터!A84-DATE(YEAR(원데이터!A84),1,1)+1</f>
        <v/>
      </c>
      <c r="C84" s="17">
        <f>(원데이터!B84+원데이터!C84)/2</f>
        <v/>
      </c>
      <c r="D84" s="12">
        <f>0.6108*EXP(17.27*원데이터!B84/(원데이터!B84+237.3))</f>
        <v/>
      </c>
      <c r="E84" s="12">
        <f>0.6108*EXP(17.27*원데이터!C84/(원데이터!C84+237.3))</f>
        <v/>
      </c>
      <c r="F84" s="12">
        <f>(D84+E84)/2</f>
        <v/>
      </c>
      <c r="G84" s="12">
        <f>IF(원데이터!H84&lt;&gt;"",원데이터!H84/10,IF(원데이터!I84&lt;&gt;"",0.6108*EXP(17.27*원데이터!I84/(원데이터!I84+237.3)),원데이터!E84/100*F84))</f>
        <v/>
      </c>
      <c r="H84" s="21">
        <f>4098*(0.6108*EXP(17.27*C84/(C84+237.3)))/(C84+237.3)^2</f>
        <v/>
      </c>
      <c r="I84" s="17">
        <f>IF(원데이터!J84&lt;&gt;"",원데이터!J84/10,101.3*((293-0.0065*설정!$B$3)/293)^5.26)</f>
        <v/>
      </c>
      <c r="J84" s="21">
        <f>0.000665*I84</f>
        <v/>
      </c>
      <c r="K84" s="18">
        <f>원데이터!G84*4.87/LN(67.8*설정!$B$4-5.42)</f>
        <v/>
      </c>
      <c r="L84" s="12">
        <f>1+0.033*COS(2*PI()*B84/365)</f>
        <v/>
      </c>
      <c r="M84" s="21">
        <f>0.409*SIN(2*PI()*B84/365-1.39)</f>
        <v/>
      </c>
      <c r="N84" s="21">
        <f>ACOS(-TAN(RADIANS(설정!$B$2))*TAN(M84))</f>
        <v/>
      </c>
      <c r="O84" s="18">
        <f>(24*60/PI())*0.082*L84*(N84*SIN(RADIANS(설정!$B$2))*SIN(M84)+COS(RADIANS(설정!$B$2))*COS(M84)*SIN(N84))</f>
        <v/>
      </c>
      <c r="P84" s="18">
        <f>(0.75+0.00002*설정!$B$3)*O84</f>
        <v/>
      </c>
      <c r="Q84" s="18">
        <f>IF(원데이터!K84&lt;&gt;"",원데이터!K84,(0.25+0.5*원데이터!L84/(24/PI()*N84))*O84)</f>
        <v/>
      </c>
      <c r="R84" s="18">
        <f>0.77*Q84</f>
        <v/>
      </c>
      <c r="S84" s="18">
        <f>0.000000004903*(((원데이터!B84+273.16)^4+(원데이터!C84+273.16)^4)/2)*(0.34-0.14*SQRT(G84))*(1.35*MIN(Q84/P84,1)-0.35)</f>
        <v/>
      </c>
      <c r="T84" s="18">
        <f>R84-S84</f>
        <v/>
      </c>
      <c r="U84" s="18">
        <f>(0.408*H84*T84+J84*(900/(C84+273))*K84*(F84-G84))/(H84+J84*(1+0.34*K84))</f>
        <v/>
      </c>
      <c r="V84" s="11">
        <f>IF(원데이터!A84-설정!$B$16&lt;0,"발아전",IF(원데이터!A84-설정!$B$16&lt;설정!$B$17,"초기",IF(원데이터!A84-설정!$B$16&lt;설정!$B$17+설정!$B$18,"발육",IF(원데이터!A84-설정!$B$16&lt;설정!$B$17+설정!$B$18+설정!$B$19,"중기",IF(원데이터!A84-설정!$B$16&lt;설정!$B$17+설정!$B$18+설정!$B$19+설정!$B$20,"후기","후기이후")))))</f>
        <v/>
      </c>
      <c r="W84" s="12">
        <f>IF(원데이터!A84-설정!$B$16&lt;0,0,IF(원데이터!A84-설정!$B$16&lt;설정!$B$17,설정!$B$33,IF(원데이터!A84-설정!$B$16&lt;설정!$B$17+설정!$B$18,설정!$B$33+(설정!$B$34-설정!$B$33)*(원데이터!A84-설정!$B$16-설정!$B$17+1)/설정!$B$18,IF(원데이터!A84-설정!$B$16&lt;설정!$B$17+설정!$B$18+설정!$B$19,설정!$B$34,IF(원데이터!A84-설정!$B$16&lt;설정!$B$17+설정!$B$18+설정!$B$19+설정!$B$20,설정!$B$34+(설정!$B$35-설정!$B$34)*(원데이터!A84-설정!$B$16-설정!$B$17-설정!$B$18-설정!$B$19+1)/설정!$B$20,0)))))</f>
        <v/>
      </c>
      <c r="X84" s="12">
        <f>0.108-0.0286*K84+0.0422*LN(설정!$B$5)+0.1434*LN(원데이터!E84)-0.000631*LN(설정!$B$5)^2*LN(원데이터!E84)</f>
        <v/>
      </c>
      <c r="Y84" s="17">
        <f>원데이터!M84</f>
        <v/>
      </c>
      <c r="Z84" s="18">
        <f>X84*Y84</f>
        <v/>
      </c>
      <c r="AA84" s="18">
        <f>U84*W84</f>
        <v/>
      </c>
      <c r="AB84" s="18">
        <f>Z84*W84</f>
        <v/>
      </c>
    </row>
    <row r="85">
      <c r="A85" s="15">
        <f>원데이터!A85</f>
        <v/>
      </c>
      <c r="B85" s="14">
        <f>원데이터!A85-DATE(YEAR(원데이터!A85),1,1)+1</f>
        <v/>
      </c>
      <c r="C85" s="17">
        <f>(원데이터!B85+원데이터!C85)/2</f>
        <v/>
      </c>
      <c r="D85" s="12">
        <f>0.6108*EXP(17.27*원데이터!B85/(원데이터!B85+237.3))</f>
        <v/>
      </c>
      <c r="E85" s="12">
        <f>0.6108*EXP(17.27*원데이터!C85/(원데이터!C85+237.3))</f>
        <v/>
      </c>
      <c r="F85" s="12">
        <f>(D85+E85)/2</f>
        <v/>
      </c>
      <c r="G85" s="12">
        <f>IF(원데이터!H85&lt;&gt;"",원데이터!H85/10,IF(원데이터!I85&lt;&gt;"",0.6108*EXP(17.27*원데이터!I85/(원데이터!I85+237.3)),원데이터!E85/100*F85))</f>
        <v/>
      </c>
      <c r="H85" s="21">
        <f>4098*(0.6108*EXP(17.27*C85/(C85+237.3)))/(C85+237.3)^2</f>
        <v/>
      </c>
      <c r="I85" s="17">
        <f>IF(원데이터!J85&lt;&gt;"",원데이터!J85/10,101.3*((293-0.0065*설정!$B$3)/293)^5.26)</f>
        <v/>
      </c>
      <c r="J85" s="21">
        <f>0.000665*I85</f>
        <v/>
      </c>
      <c r="K85" s="18">
        <f>원데이터!G85*4.87/LN(67.8*설정!$B$4-5.42)</f>
        <v/>
      </c>
      <c r="L85" s="12">
        <f>1+0.033*COS(2*PI()*B85/365)</f>
        <v/>
      </c>
      <c r="M85" s="21">
        <f>0.409*SIN(2*PI()*B85/365-1.39)</f>
        <v/>
      </c>
      <c r="N85" s="21">
        <f>ACOS(-TAN(RADIANS(설정!$B$2))*TAN(M85))</f>
        <v/>
      </c>
      <c r="O85" s="18">
        <f>(24*60/PI())*0.082*L85*(N85*SIN(RADIANS(설정!$B$2))*SIN(M85)+COS(RADIANS(설정!$B$2))*COS(M85)*SIN(N85))</f>
        <v/>
      </c>
      <c r="P85" s="18">
        <f>(0.75+0.00002*설정!$B$3)*O85</f>
        <v/>
      </c>
      <c r="Q85" s="18">
        <f>IF(원데이터!K85&lt;&gt;"",원데이터!K85,(0.25+0.5*원데이터!L85/(24/PI()*N85))*O85)</f>
        <v/>
      </c>
      <c r="R85" s="18">
        <f>0.77*Q85</f>
        <v/>
      </c>
      <c r="S85" s="18">
        <f>0.000000004903*(((원데이터!B85+273.16)^4+(원데이터!C85+273.16)^4)/2)*(0.34-0.14*SQRT(G85))*(1.35*MIN(Q85/P85,1)-0.35)</f>
        <v/>
      </c>
      <c r="T85" s="18">
        <f>R85-S85</f>
        <v/>
      </c>
      <c r="U85" s="18">
        <f>(0.408*H85*T85+J85*(900/(C85+273))*K85*(F85-G85))/(H85+J85*(1+0.34*K85))</f>
        <v/>
      </c>
      <c r="V85" s="11">
        <f>IF(원데이터!A85-설정!$B$16&lt;0,"발아전",IF(원데이터!A85-설정!$B$16&lt;설정!$B$17,"초기",IF(원데이터!A85-설정!$B$16&lt;설정!$B$17+설정!$B$18,"발육",IF(원데이터!A85-설정!$B$16&lt;설정!$B$17+설정!$B$18+설정!$B$19,"중기",IF(원데이터!A85-설정!$B$16&lt;설정!$B$17+설정!$B$18+설정!$B$19+설정!$B$20,"후기","후기이후")))))</f>
        <v/>
      </c>
      <c r="W85" s="12">
        <f>IF(원데이터!A85-설정!$B$16&lt;0,0,IF(원데이터!A85-설정!$B$16&lt;설정!$B$17,설정!$B$33,IF(원데이터!A85-설정!$B$16&lt;설정!$B$17+설정!$B$18,설정!$B$33+(설정!$B$34-설정!$B$33)*(원데이터!A85-설정!$B$16-설정!$B$17+1)/설정!$B$18,IF(원데이터!A85-설정!$B$16&lt;설정!$B$17+설정!$B$18+설정!$B$19,설정!$B$34,IF(원데이터!A85-설정!$B$16&lt;설정!$B$17+설정!$B$18+설정!$B$19+설정!$B$20,설정!$B$34+(설정!$B$35-설정!$B$34)*(원데이터!A85-설정!$B$16-설정!$B$17-설정!$B$18-설정!$B$19+1)/설정!$B$20,0)))))</f>
        <v/>
      </c>
      <c r="X85" s="12">
        <f>0.108-0.0286*K85+0.0422*LN(설정!$B$5)+0.1434*LN(원데이터!E85)-0.000631*LN(설정!$B$5)^2*LN(원데이터!E85)</f>
        <v/>
      </c>
      <c r="Y85" s="17">
        <f>원데이터!M85</f>
        <v/>
      </c>
      <c r="Z85" s="18">
        <f>X85*Y85</f>
        <v/>
      </c>
      <c r="AA85" s="18">
        <f>U85*W85</f>
        <v/>
      </c>
      <c r="AB85" s="18">
        <f>Z85*W85</f>
        <v/>
      </c>
    </row>
    <row r="86">
      <c r="A86" s="15">
        <f>원데이터!A86</f>
        <v/>
      </c>
      <c r="B86" s="14">
        <f>원데이터!A86-DATE(YEAR(원데이터!A86),1,1)+1</f>
        <v/>
      </c>
      <c r="C86" s="17">
        <f>(원데이터!B86+원데이터!C86)/2</f>
        <v/>
      </c>
      <c r="D86" s="12">
        <f>0.6108*EXP(17.27*원데이터!B86/(원데이터!B86+237.3))</f>
        <v/>
      </c>
      <c r="E86" s="12">
        <f>0.6108*EXP(17.27*원데이터!C86/(원데이터!C86+237.3))</f>
        <v/>
      </c>
      <c r="F86" s="12">
        <f>(D86+E86)/2</f>
        <v/>
      </c>
      <c r="G86" s="12">
        <f>IF(원데이터!H86&lt;&gt;"",원데이터!H86/10,IF(원데이터!I86&lt;&gt;"",0.6108*EXP(17.27*원데이터!I86/(원데이터!I86+237.3)),원데이터!E86/100*F86))</f>
        <v/>
      </c>
      <c r="H86" s="21">
        <f>4098*(0.6108*EXP(17.27*C86/(C86+237.3)))/(C86+237.3)^2</f>
        <v/>
      </c>
      <c r="I86" s="17">
        <f>IF(원데이터!J86&lt;&gt;"",원데이터!J86/10,101.3*((293-0.0065*설정!$B$3)/293)^5.26)</f>
        <v/>
      </c>
      <c r="J86" s="21">
        <f>0.000665*I86</f>
        <v/>
      </c>
      <c r="K86" s="18">
        <f>원데이터!G86*4.87/LN(67.8*설정!$B$4-5.42)</f>
        <v/>
      </c>
      <c r="L86" s="12">
        <f>1+0.033*COS(2*PI()*B86/365)</f>
        <v/>
      </c>
      <c r="M86" s="21">
        <f>0.409*SIN(2*PI()*B86/365-1.39)</f>
        <v/>
      </c>
      <c r="N86" s="21">
        <f>ACOS(-TAN(RADIANS(설정!$B$2))*TAN(M86))</f>
        <v/>
      </c>
      <c r="O86" s="18">
        <f>(24*60/PI())*0.082*L86*(N86*SIN(RADIANS(설정!$B$2))*SIN(M86)+COS(RADIANS(설정!$B$2))*COS(M86)*SIN(N86))</f>
        <v/>
      </c>
      <c r="P86" s="18">
        <f>(0.75+0.00002*설정!$B$3)*O86</f>
        <v/>
      </c>
      <c r="Q86" s="18">
        <f>IF(원데이터!K86&lt;&gt;"",원데이터!K86,(0.25+0.5*원데이터!L86/(24/PI()*N86))*O86)</f>
        <v/>
      </c>
      <c r="R86" s="18">
        <f>0.77*Q86</f>
        <v/>
      </c>
      <c r="S86" s="18">
        <f>0.000000004903*(((원데이터!B86+273.16)^4+(원데이터!C86+273.16)^4)/2)*(0.34-0.14*SQRT(G86))*(1.35*MIN(Q86/P86,1)-0.35)</f>
        <v/>
      </c>
      <c r="T86" s="18">
        <f>R86-S86</f>
        <v/>
      </c>
      <c r="U86" s="18">
        <f>(0.408*H86*T86+J86*(900/(C86+273))*K86*(F86-G86))/(H86+J86*(1+0.34*K86))</f>
        <v/>
      </c>
      <c r="V86" s="11">
        <f>IF(원데이터!A86-설정!$B$16&lt;0,"발아전",IF(원데이터!A86-설정!$B$16&lt;설정!$B$17,"초기",IF(원데이터!A86-설정!$B$16&lt;설정!$B$17+설정!$B$18,"발육",IF(원데이터!A86-설정!$B$16&lt;설정!$B$17+설정!$B$18+설정!$B$19,"중기",IF(원데이터!A86-설정!$B$16&lt;설정!$B$17+설정!$B$18+설정!$B$19+설정!$B$20,"후기","후기이후")))))</f>
        <v/>
      </c>
      <c r="W86" s="12">
        <f>IF(원데이터!A86-설정!$B$16&lt;0,0,IF(원데이터!A86-설정!$B$16&lt;설정!$B$17,설정!$B$33,IF(원데이터!A86-설정!$B$16&lt;설정!$B$17+설정!$B$18,설정!$B$33+(설정!$B$34-설정!$B$33)*(원데이터!A86-설정!$B$16-설정!$B$17+1)/설정!$B$18,IF(원데이터!A86-설정!$B$16&lt;설정!$B$17+설정!$B$18+설정!$B$19,설정!$B$34,IF(원데이터!A86-설정!$B$16&lt;설정!$B$17+설정!$B$18+설정!$B$19+설정!$B$20,설정!$B$34+(설정!$B$35-설정!$B$34)*(원데이터!A86-설정!$B$16-설정!$B$17-설정!$B$18-설정!$B$19+1)/설정!$B$20,0)))))</f>
        <v/>
      </c>
      <c r="X86" s="12">
        <f>0.108-0.0286*K86+0.0422*LN(설정!$B$5)+0.1434*LN(원데이터!E86)-0.000631*LN(설정!$B$5)^2*LN(원데이터!E86)</f>
        <v/>
      </c>
      <c r="Y86" s="17">
        <f>원데이터!M86</f>
        <v/>
      </c>
      <c r="Z86" s="18">
        <f>X86*Y86</f>
        <v/>
      </c>
      <c r="AA86" s="18">
        <f>U86*W86</f>
        <v/>
      </c>
      <c r="AB86" s="18">
        <f>Z86*W86</f>
        <v/>
      </c>
    </row>
    <row r="87">
      <c r="A87" s="15">
        <f>원데이터!A87</f>
        <v/>
      </c>
      <c r="B87" s="14">
        <f>원데이터!A87-DATE(YEAR(원데이터!A87),1,1)+1</f>
        <v/>
      </c>
      <c r="C87" s="17">
        <f>(원데이터!B87+원데이터!C87)/2</f>
        <v/>
      </c>
      <c r="D87" s="12">
        <f>0.6108*EXP(17.27*원데이터!B87/(원데이터!B87+237.3))</f>
        <v/>
      </c>
      <c r="E87" s="12">
        <f>0.6108*EXP(17.27*원데이터!C87/(원데이터!C87+237.3))</f>
        <v/>
      </c>
      <c r="F87" s="12">
        <f>(D87+E87)/2</f>
        <v/>
      </c>
      <c r="G87" s="12">
        <f>IF(원데이터!H87&lt;&gt;"",원데이터!H87/10,IF(원데이터!I87&lt;&gt;"",0.6108*EXP(17.27*원데이터!I87/(원데이터!I87+237.3)),원데이터!E87/100*F87))</f>
        <v/>
      </c>
      <c r="H87" s="21">
        <f>4098*(0.6108*EXP(17.27*C87/(C87+237.3)))/(C87+237.3)^2</f>
        <v/>
      </c>
      <c r="I87" s="17">
        <f>IF(원데이터!J87&lt;&gt;"",원데이터!J87/10,101.3*((293-0.0065*설정!$B$3)/293)^5.26)</f>
        <v/>
      </c>
      <c r="J87" s="21">
        <f>0.000665*I87</f>
        <v/>
      </c>
      <c r="K87" s="18">
        <f>원데이터!G87*4.87/LN(67.8*설정!$B$4-5.42)</f>
        <v/>
      </c>
      <c r="L87" s="12">
        <f>1+0.033*COS(2*PI()*B87/365)</f>
        <v/>
      </c>
      <c r="M87" s="21">
        <f>0.409*SIN(2*PI()*B87/365-1.39)</f>
        <v/>
      </c>
      <c r="N87" s="21">
        <f>ACOS(-TAN(RADIANS(설정!$B$2))*TAN(M87))</f>
        <v/>
      </c>
      <c r="O87" s="18">
        <f>(24*60/PI())*0.082*L87*(N87*SIN(RADIANS(설정!$B$2))*SIN(M87)+COS(RADIANS(설정!$B$2))*COS(M87)*SIN(N87))</f>
        <v/>
      </c>
      <c r="P87" s="18">
        <f>(0.75+0.00002*설정!$B$3)*O87</f>
        <v/>
      </c>
      <c r="Q87" s="18">
        <f>IF(원데이터!K87&lt;&gt;"",원데이터!K87,(0.25+0.5*원데이터!L87/(24/PI()*N87))*O87)</f>
        <v/>
      </c>
      <c r="R87" s="18">
        <f>0.77*Q87</f>
        <v/>
      </c>
      <c r="S87" s="18">
        <f>0.000000004903*(((원데이터!B87+273.16)^4+(원데이터!C87+273.16)^4)/2)*(0.34-0.14*SQRT(G87))*(1.35*MIN(Q87/P87,1)-0.35)</f>
        <v/>
      </c>
      <c r="T87" s="18">
        <f>R87-S87</f>
        <v/>
      </c>
      <c r="U87" s="18">
        <f>(0.408*H87*T87+J87*(900/(C87+273))*K87*(F87-G87))/(H87+J87*(1+0.34*K87))</f>
        <v/>
      </c>
      <c r="V87" s="11">
        <f>IF(원데이터!A87-설정!$B$16&lt;0,"발아전",IF(원데이터!A87-설정!$B$16&lt;설정!$B$17,"초기",IF(원데이터!A87-설정!$B$16&lt;설정!$B$17+설정!$B$18,"발육",IF(원데이터!A87-설정!$B$16&lt;설정!$B$17+설정!$B$18+설정!$B$19,"중기",IF(원데이터!A87-설정!$B$16&lt;설정!$B$17+설정!$B$18+설정!$B$19+설정!$B$20,"후기","후기이후")))))</f>
        <v/>
      </c>
      <c r="W87" s="12">
        <f>IF(원데이터!A87-설정!$B$16&lt;0,0,IF(원데이터!A87-설정!$B$16&lt;설정!$B$17,설정!$B$33,IF(원데이터!A87-설정!$B$16&lt;설정!$B$17+설정!$B$18,설정!$B$33+(설정!$B$34-설정!$B$33)*(원데이터!A87-설정!$B$16-설정!$B$17+1)/설정!$B$18,IF(원데이터!A87-설정!$B$16&lt;설정!$B$17+설정!$B$18+설정!$B$19,설정!$B$34,IF(원데이터!A87-설정!$B$16&lt;설정!$B$17+설정!$B$18+설정!$B$19+설정!$B$20,설정!$B$34+(설정!$B$35-설정!$B$34)*(원데이터!A87-설정!$B$16-설정!$B$17-설정!$B$18-설정!$B$19+1)/설정!$B$20,0)))))</f>
        <v/>
      </c>
      <c r="X87" s="12">
        <f>0.108-0.0286*K87+0.0422*LN(설정!$B$5)+0.1434*LN(원데이터!E87)-0.000631*LN(설정!$B$5)^2*LN(원데이터!E87)</f>
        <v/>
      </c>
      <c r="Y87" s="17">
        <f>원데이터!M87</f>
        <v/>
      </c>
      <c r="Z87" s="18">
        <f>X87*Y87</f>
        <v/>
      </c>
      <c r="AA87" s="18">
        <f>U87*W87</f>
        <v/>
      </c>
      <c r="AB87" s="18">
        <f>Z87*W87</f>
        <v/>
      </c>
    </row>
    <row r="88">
      <c r="A88" s="15">
        <f>원데이터!A88</f>
        <v/>
      </c>
      <c r="B88" s="14">
        <f>원데이터!A88-DATE(YEAR(원데이터!A88),1,1)+1</f>
        <v/>
      </c>
      <c r="C88" s="17">
        <f>(원데이터!B88+원데이터!C88)/2</f>
        <v/>
      </c>
      <c r="D88" s="12">
        <f>0.6108*EXP(17.27*원데이터!B88/(원데이터!B88+237.3))</f>
        <v/>
      </c>
      <c r="E88" s="12">
        <f>0.6108*EXP(17.27*원데이터!C88/(원데이터!C88+237.3))</f>
        <v/>
      </c>
      <c r="F88" s="12">
        <f>(D88+E88)/2</f>
        <v/>
      </c>
      <c r="G88" s="12">
        <f>IF(원데이터!H88&lt;&gt;"",원데이터!H88/10,IF(원데이터!I88&lt;&gt;"",0.6108*EXP(17.27*원데이터!I88/(원데이터!I88+237.3)),원데이터!E88/100*F88))</f>
        <v/>
      </c>
      <c r="H88" s="21">
        <f>4098*(0.6108*EXP(17.27*C88/(C88+237.3)))/(C88+237.3)^2</f>
        <v/>
      </c>
      <c r="I88" s="17">
        <f>IF(원데이터!J88&lt;&gt;"",원데이터!J88/10,101.3*((293-0.0065*설정!$B$3)/293)^5.26)</f>
        <v/>
      </c>
      <c r="J88" s="21">
        <f>0.000665*I88</f>
        <v/>
      </c>
      <c r="K88" s="18">
        <f>원데이터!G88*4.87/LN(67.8*설정!$B$4-5.42)</f>
        <v/>
      </c>
      <c r="L88" s="12">
        <f>1+0.033*COS(2*PI()*B88/365)</f>
        <v/>
      </c>
      <c r="M88" s="21">
        <f>0.409*SIN(2*PI()*B88/365-1.39)</f>
        <v/>
      </c>
      <c r="N88" s="21">
        <f>ACOS(-TAN(RADIANS(설정!$B$2))*TAN(M88))</f>
        <v/>
      </c>
      <c r="O88" s="18">
        <f>(24*60/PI())*0.082*L88*(N88*SIN(RADIANS(설정!$B$2))*SIN(M88)+COS(RADIANS(설정!$B$2))*COS(M88)*SIN(N88))</f>
        <v/>
      </c>
      <c r="P88" s="18">
        <f>(0.75+0.00002*설정!$B$3)*O88</f>
        <v/>
      </c>
      <c r="Q88" s="18">
        <f>IF(원데이터!K88&lt;&gt;"",원데이터!K88,(0.25+0.5*원데이터!L88/(24/PI()*N88))*O88)</f>
        <v/>
      </c>
      <c r="R88" s="18">
        <f>0.77*Q88</f>
        <v/>
      </c>
      <c r="S88" s="18">
        <f>0.000000004903*(((원데이터!B88+273.16)^4+(원데이터!C88+273.16)^4)/2)*(0.34-0.14*SQRT(G88))*(1.35*MIN(Q88/P88,1)-0.35)</f>
        <v/>
      </c>
      <c r="T88" s="18">
        <f>R88-S88</f>
        <v/>
      </c>
      <c r="U88" s="18">
        <f>(0.408*H88*T88+J88*(900/(C88+273))*K88*(F88-G88))/(H88+J88*(1+0.34*K88))</f>
        <v/>
      </c>
      <c r="V88" s="11">
        <f>IF(원데이터!A88-설정!$B$16&lt;0,"발아전",IF(원데이터!A88-설정!$B$16&lt;설정!$B$17,"초기",IF(원데이터!A88-설정!$B$16&lt;설정!$B$17+설정!$B$18,"발육",IF(원데이터!A88-설정!$B$16&lt;설정!$B$17+설정!$B$18+설정!$B$19,"중기",IF(원데이터!A88-설정!$B$16&lt;설정!$B$17+설정!$B$18+설정!$B$19+설정!$B$20,"후기","후기이후")))))</f>
        <v/>
      </c>
      <c r="W88" s="12">
        <f>IF(원데이터!A88-설정!$B$16&lt;0,0,IF(원데이터!A88-설정!$B$16&lt;설정!$B$17,설정!$B$33,IF(원데이터!A88-설정!$B$16&lt;설정!$B$17+설정!$B$18,설정!$B$33+(설정!$B$34-설정!$B$33)*(원데이터!A88-설정!$B$16-설정!$B$17+1)/설정!$B$18,IF(원데이터!A88-설정!$B$16&lt;설정!$B$17+설정!$B$18+설정!$B$19,설정!$B$34,IF(원데이터!A88-설정!$B$16&lt;설정!$B$17+설정!$B$18+설정!$B$19+설정!$B$20,설정!$B$34+(설정!$B$35-설정!$B$34)*(원데이터!A88-설정!$B$16-설정!$B$17-설정!$B$18-설정!$B$19+1)/설정!$B$20,0)))))</f>
        <v/>
      </c>
      <c r="X88" s="12">
        <f>0.108-0.0286*K88+0.0422*LN(설정!$B$5)+0.1434*LN(원데이터!E88)-0.000631*LN(설정!$B$5)^2*LN(원데이터!E88)</f>
        <v/>
      </c>
      <c r="Y88" s="17">
        <f>원데이터!M88</f>
        <v/>
      </c>
      <c r="Z88" s="18">
        <f>X88*Y88</f>
        <v/>
      </c>
      <c r="AA88" s="18">
        <f>U88*W88</f>
        <v/>
      </c>
      <c r="AB88" s="18">
        <f>Z88*W88</f>
        <v/>
      </c>
    </row>
    <row r="89">
      <c r="A89" s="15">
        <f>원데이터!A89</f>
        <v/>
      </c>
      <c r="B89" s="14">
        <f>원데이터!A89-DATE(YEAR(원데이터!A89),1,1)+1</f>
        <v/>
      </c>
      <c r="C89" s="17">
        <f>(원데이터!B89+원데이터!C89)/2</f>
        <v/>
      </c>
      <c r="D89" s="12">
        <f>0.6108*EXP(17.27*원데이터!B89/(원데이터!B89+237.3))</f>
        <v/>
      </c>
      <c r="E89" s="12">
        <f>0.6108*EXP(17.27*원데이터!C89/(원데이터!C89+237.3))</f>
        <v/>
      </c>
      <c r="F89" s="12">
        <f>(D89+E89)/2</f>
        <v/>
      </c>
      <c r="G89" s="12">
        <f>IF(원데이터!H89&lt;&gt;"",원데이터!H89/10,IF(원데이터!I89&lt;&gt;"",0.6108*EXP(17.27*원데이터!I89/(원데이터!I89+237.3)),원데이터!E89/100*F89))</f>
        <v/>
      </c>
      <c r="H89" s="21">
        <f>4098*(0.6108*EXP(17.27*C89/(C89+237.3)))/(C89+237.3)^2</f>
        <v/>
      </c>
      <c r="I89" s="17">
        <f>IF(원데이터!J89&lt;&gt;"",원데이터!J89/10,101.3*((293-0.0065*설정!$B$3)/293)^5.26)</f>
        <v/>
      </c>
      <c r="J89" s="21">
        <f>0.000665*I89</f>
        <v/>
      </c>
      <c r="K89" s="18">
        <f>원데이터!G89*4.87/LN(67.8*설정!$B$4-5.42)</f>
        <v/>
      </c>
      <c r="L89" s="12">
        <f>1+0.033*COS(2*PI()*B89/365)</f>
        <v/>
      </c>
      <c r="M89" s="21">
        <f>0.409*SIN(2*PI()*B89/365-1.39)</f>
        <v/>
      </c>
      <c r="N89" s="21">
        <f>ACOS(-TAN(RADIANS(설정!$B$2))*TAN(M89))</f>
        <v/>
      </c>
      <c r="O89" s="18">
        <f>(24*60/PI())*0.082*L89*(N89*SIN(RADIANS(설정!$B$2))*SIN(M89)+COS(RADIANS(설정!$B$2))*COS(M89)*SIN(N89))</f>
        <v/>
      </c>
      <c r="P89" s="18">
        <f>(0.75+0.00002*설정!$B$3)*O89</f>
        <v/>
      </c>
      <c r="Q89" s="18">
        <f>IF(원데이터!K89&lt;&gt;"",원데이터!K89,(0.25+0.5*원데이터!L89/(24/PI()*N89))*O89)</f>
        <v/>
      </c>
      <c r="R89" s="18">
        <f>0.77*Q89</f>
        <v/>
      </c>
      <c r="S89" s="18">
        <f>0.000000004903*(((원데이터!B89+273.16)^4+(원데이터!C89+273.16)^4)/2)*(0.34-0.14*SQRT(G89))*(1.35*MIN(Q89/P89,1)-0.35)</f>
        <v/>
      </c>
      <c r="T89" s="18">
        <f>R89-S89</f>
        <v/>
      </c>
      <c r="U89" s="18">
        <f>(0.408*H89*T89+J89*(900/(C89+273))*K89*(F89-G89))/(H89+J89*(1+0.34*K89))</f>
        <v/>
      </c>
      <c r="V89" s="11">
        <f>IF(원데이터!A89-설정!$B$16&lt;0,"발아전",IF(원데이터!A89-설정!$B$16&lt;설정!$B$17,"초기",IF(원데이터!A89-설정!$B$16&lt;설정!$B$17+설정!$B$18,"발육",IF(원데이터!A89-설정!$B$16&lt;설정!$B$17+설정!$B$18+설정!$B$19,"중기",IF(원데이터!A89-설정!$B$16&lt;설정!$B$17+설정!$B$18+설정!$B$19+설정!$B$20,"후기","후기이후")))))</f>
        <v/>
      </c>
      <c r="W89" s="12">
        <f>IF(원데이터!A89-설정!$B$16&lt;0,0,IF(원데이터!A89-설정!$B$16&lt;설정!$B$17,설정!$B$33,IF(원데이터!A89-설정!$B$16&lt;설정!$B$17+설정!$B$18,설정!$B$33+(설정!$B$34-설정!$B$33)*(원데이터!A89-설정!$B$16-설정!$B$17+1)/설정!$B$18,IF(원데이터!A89-설정!$B$16&lt;설정!$B$17+설정!$B$18+설정!$B$19,설정!$B$34,IF(원데이터!A89-설정!$B$16&lt;설정!$B$17+설정!$B$18+설정!$B$19+설정!$B$20,설정!$B$34+(설정!$B$35-설정!$B$34)*(원데이터!A89-설정!$B$16-설정!$B$17-설정!$B$18-설정!$B$19+1)/설정!$B$20,0)))))</f>
        <v/>
      </c>
      <c r="X89" s="12">
        <f>0.108-0.0286*K89+0.0422*LN(설정!$B$5)+0.1434*LN(원데이터!E89)-0.000631*LN(설정!$B$5)^2*LN(원데이터!E89)</f>
        <v/>
      </c>
      <c r="Y89" s="17">
        <f>원데이터!M89</f>
        <v/>
      </c>
      <c r="Z89" s="18">
        <f>X89*Y89</f>
        <v/>
      </c>
      <c r="AA89" s="18">
        <f>U89*W89</f>
        <v/>
      </c>
      <c r="AB89" s="18">
        <f>Z89*W89</f>
        <v/>
      </c>
    </row>
    <row r="90">
      <c r="A90" s="15">
        <f>원데이터!A90</f>
        <v/>
      </c>
      <c r="B90" s="14">
        <f>원데이터!A90-DATE(YEAR(원데이터!A90),1,1)+1</f>
        <v/>
      </c>
      <c r="C90" s="17">
        <f>(원데이터!B90+원데이터!C90)/2</f>
        <v/>
      </c>
      <c r="D90" s="12">
        <f>0.6108*EXP(17.27*원데이터!B90/(원데이터!B90+237.3))</f>
        <v/>
      </c>
      <c r="E90" s="12">
        <f>0.6108*EXP(17.27*원데이터!C90/(원데이터!C90+237.3))</f>
        <v/>
      </c>
      <c r="F90" s="12">
        <f>(D90+E90)/2</f>
        <v/>
      </c>
      <c r="G90" s="12">
        <f>IF(원데이터!H90&lt;&gt;"",원데이터!H90/10,IF(원데이터!I90&lt;&gt;"",0.6108*EXP(17.27*원데이터!I90/(원데이터!I90+237.3)),원데이터!E90/100*F90))</f>
        <v/>
      </c>
      <c r="H90" s="21">
        <f>4098*(0.6108*EXP(17.27*C90/(C90+237.3)))/(C90+237.3)^2</f>
        <v/>
      </c>
      <c r="I90" s="17">
        <f>IF(원데이터!J90&lt;&gt;"",원데이터!J90/10,101.3*((293-0.0065*설정!$B$3)/293)^5.26)</f>
        <v/>
      </c>
      <c r="J90" s="21">
        <f>0.000665*I90</f>
        <v/>
      </c>
      <c r="K90" s="18">
        <f>원데이터!G90*4.87/LN(67.8*설정!$B$4-5.42)</f>
        <v/>
      </c>
      <c r="L90" s="12">
        <f>1+0.033*COS(2*PI()*B90/365)</f>
        <v/>
      </c>
      <c r="M90" s="21">
        <f>0.409*SIN(2*PI()*B90/365-1.39)</f>
        <v/>
      </c>
      <c r="N90" s="21">
        <f>ACOS(-TAN(RADIANS(설정!$B$2))*TAN(M90))</f>
        <v/>
      </c>
      <c r="O90" s="18">
        <f>(24*60/PI())*0.082*L90*(N90*SIN(RADIANS(설정!$B$2))*SIN(M90)+COS(RADIANS(설정!$B$2))*COS(M90)*SIN(N90))</f>
        <v/>
      </c>
      <c r="P90" s="18">
        <f>(0.75+0.00002*설정!$B$3)*O90</f>
        <v/>
      </c>
      <c r="Q90" s="18">
        <f>IF(원데이터!K90&lt;&gt;"",원데이터!K90,(0.25+0.5*원데이터!L90/(24/PI()*N90))*O90)</f>
        <v/>
      </c>
      <c r="R90" s="18">
        <f>0.77*Q90</f>
        <v/>
      </c>
      <c r="S90" s="18">
        <f>0.000000004903*(((원데이터!B90+273.16)^4+(원데이터!C90+273.16)^4)/2)*(0.34-0.14*SQRT(G90))*(1.35*MIN(Q90/P90,1)-0.35)</f>
        <v/>
      </c>
      <c r="T90" s="18">
        <f>R90-S90</f>
        <v/>
      </c>
      <c r="U90" s="18">
        <f>(0.408*H90*T90+J90*(900/(C90+273))*K90*(F90-G90))/(H90+J90*(1+0.34*K90))</f>
        <v/>
      </c>
      <c r="V90" s="11">
        <f>IF(원데이터!A90-설정!$B$16&lt;0,"발아전",IF(원데이터!A90-설정!$B$16&lt;설정!$B$17,"초기",IF(원데이터!A90-설정!$B$16&lt;설정!$B$17+설정!$B$18,"발육",IF(원데이터!A90-설정!$B$16&lt;설정!$B$17+설정!$B$18+설정!$B$19,"중기",IF(원데이터!A90-설정!$B$16&lt;설정!$B$17+설정!$B$18+설정!$B$19+설정!$B$20,"후기","후기이후")))))</f>
        <v/>
      </c>
      <c r="W90" s="12">
        <f>IF(원데이터!A90-설정!$B$16&lt;0,0,IF(원데이터!A90-설정!$B$16&lt;설정!$B$17,설정!$B$33,IF(원데이터!A90-설정!$B$16&lt;설정!$B$17+설정!$B$18,설정!$B$33+(설정!$B$34-설정!$B$33)*(원데이터!A90-설정!$B$16-설정!$B$17+1)/설정!$B$18,IF(원데이터!A90-설정!$B$16&lt;설정!$B$17+설정!$B$18+설정!$B$19,설정!$B$34,IF(원데이터!A90-설정!$B$16&lt;설정!$B$17+설정!$B$18+설정!$B$19+설정!$B$20,설정!$B$34+(설정!$B$35-설정!$B$34)*(원데이터!A90-설정!$B$16-설정!$B$17-설정!$B$18-설정!$B$19+1)/설정!$B$20,0)))))</f>
        <v/>
      </c>
      <c r="X90" s="12">
        <f>0.108-0.0286*K90+0.0422*LN(설정!$B$5)+0.1434*LN(원데이터!E90)-0.000631*LN(설정!$B$5)^2*LN(원데이터!E90)</f>
        <v/>
      </c>
      <c r="Y90" s="17">
        <f>원데이터!M90</f>
        <v/>
      </c>
      <c r="Z90" s="18">
        <f>X90*Y90</f>
        <v/>
      </c>
      <c r="AA90" s="18">
        <f>U90*W90</f>
        <v/>
      </c>
      <c r="AB90" s="18">
        <f>Z90*W90</f>
        <v/>
      </c>
    </row>
    <row r="91">
      <c r="A91" s="15">
        <f>원데이터!A91</f>
        <v/>
      </c>
      <c r="B91" s="14">
        <f>원데이터!A91-DATE(YEAR(원데이터!A91),1,1)+1</f>
        <v/>
      </c>
      <c r="C91" s="17">
        <f>(원데이터!B91+원데이터!C91)/2</f>
        <v/>
      </c>
      <c r="D91" s="12">
        <f>0.6108*EXP(17.27*원데이터!B91/(원데이터!B91+237.3))</f>
        <v/>
      </c>
      <c r="E91" s="12">
        <f>0.6108*EXP(17.27*원데이터!C91/(원데이터!C91+237.3))</f>
        <v/>
      </c>
      <c r="F91" s="12">
        <f>(D91+E91)/2</f>
        <v/>
      </c>
      <c r="G91" s="12">
        <f>IF(원데이터!H91&lt;&gt;"",원데이터!H91/10,IF(원데이터!I91&lt;&gt;"",0.6108*EXP(17.27*원데이터!I91/(원데이터!I91+237.3)),원데이터!E91/100*F91))</f>
        <v/>
      </c>
      <c r="H91" s="21">
        <f>4098*(0.6108*EXP(17.27*C91/(C91+237.3)))/(C91+237.3)^2</f>
        <v/>
      </c>
      <c r="I91" s="17">
        <f>IF(원데이터!J91&lt;&gt;"",원데이터!J91/10,101.3*((293-0.0065*설정!$B$3)/293)^5.26)</f>
        <v/>
      </c>
      <c r="J91" s="21">
        <f>0.000665*I91</f>
        <v/>
      </c>
      <c r="K91" s="18">
        <f>원데이터!G91*4.87/LN(67.8*설정!$B$4-5.42)</f>
        <v/>
      </c>
      <c r="L91" s="12">
        <f>1+0.033*COS(2*PI()*B91/365)</f>
        <v/>
      </c>
      <c r="M91" s="21">
        <f>0.409*SIN(2*PI()*B91/365-1.39)</f>
        <v/>
      </c>
      <c r="N91" s="21">
        <f>ACOS(-TAN(RADIANS(설정!$B$2))*TAN(M91))</f>
        <v/>
      </c>
      <c r="O91" s="18">
        <f>(24*60/PI())*0.082*L91*(N91*SIN(RADIANS(설정!$B$2))*SIN(M91)+COS(RADIANS(설정!$B$2))*COS(M91)*SIN(N91))</f>
        <v/>
      </c>
      <c r="P91" s="18">
        <f>(0.75+0.00002*설정!$B$3)*O91</f>
        <v/>
      </c>
      <c r="Q91" s="18">
        <f>IF(원데이터!K91&lt;&gt;"",원데이터!K91,(0.25+0.5*원데이터!L91/(24/PI()*N91))*O91)</f>
        <v/>
      </c>
      <c r="R91" s="18">
        <f>0.77*Q91</f>
        <v/>
      </c>
      <c r="S91" s="18">
        <f>0.000000004903*(((원데이터!B91+273.16)^4+(원데이터!C91+273.16)^4)/2)*(0.34-0.14*SQRT(G91))*(1.35*MIN(Q91/P91,1)-0.35)</f>
        <v/>
      </c>
      <c r="T91" s="18">
        <f>R91-S91</f>
        <v/>
      </c>
      <c r="U91" s="18">
        <f>(0.408*H91*T91+J91*(900/(C91+273))*K91*(F91-G91))/(H91+J91*(1+0.34*K91))</f>
        <v/>
      </c>
      <c r="V91" s="11">
        <f>IF(원데이터!A91-설정!$B$16&lt;0,"발아전",IF(원데이터!A91-설정!$B$16&lt;설정!$B$17,"초기",IF(원데이터!A91-설정!$B$16&lt;설정!$B$17+설정!$B$18,"발육",IF(원데이터!A91-설정!$B$16&lt;설정!$B$17+설정!$B$18+설정!$B$19,"중기",IF(원데이터!A91-설정!$B$16&lt;설정!$B$17+설정!$B$18+설정!$B$19+설정!$B$20,"후기","후기이후")))))</f>
        <v/>
      </c>
      <c r="W91" s="12">
        <f>IF(원데이터!A91-설정!$B$16&lt;0,0,IF(원데이터!A91-설정!$B$16&lt;설정!$B$17,설정!$B$33,IF(원데이터!A91-설정!$B$16&lt;설정!$B$17+설정!$B$18,설정!$B$33+(설정!$B$34-설정!$B$33)*(원데이터!A91-설정!$B$16-설정!$B$17+1)/설정!$B$18,IF(원데이터!A91-설정!$B$16&lt;설정!$B$17+설정!$B$18+설정!$B$19,설정!$B$34,IF(원데이터!A91-설정!$B$16&lt;설정!$B$17+설정!$B$18+설정!$B$19+설정!$B$20,설정!$B$34+(설정!$B$35-설정!$B$34)*(원데이터!A91-설정!$B$16-설정!$B$17-설정!$B$18-설정!$B$19+1)/설정!$B$20,0)))))</f>
        <v/>
      </c>
      <c r="X91" s="12">
        <f>0.108-0.0286*K91+0.0422*LN(설정!$B$5)+0.1434*LN(원데이터!E91)-0.000631*LN(설정!$B$5)^2*LN(원데이터!E91)</f>
        <v/>
      </c>
      <c r="Y91" s="17">
        <f>원데이터!M91</f>
        <v/>
      </c>
      <c r="Z91" s="18">
        <f>X91*Y91</f>
        <v/>
      </c>
      <c r="AA91" s="18">
        <f>U91*W91</f>
        <v/>
      </c>
      <c r="AB91" s="18">
        <f>Z91*W91</f>
        <v/>
      </c>
    </row>
    <row r="92">
      <c r="A92" s="15">
        <f>원데이터!A92</f>
        <v/>
      </c>
      <c r="B92" s="14">
        <f>원데이터!A92-DATE(YEAR(원데이터!A92),1,1)+1</f>
        <v/>
      </c>
      <c r="C92" s="17">
        <f>(원데이터!B92+원데이터!C92)/2</f>
        <v/>
      </c>
      <c r="D92" s="12">
        <f>0.6108*EXP(17.27*원데이터!B92/(원데이터!B92+237.3))</f>
        <v/>
      </c>
      <c r="E92" s="12">
        <f>0.6108*EXP(17.27*원데이터!C92/(원데이터!C92+237.3))</f>
        <v/>
      </c>
      <c r="F92" s="12">
        <f>(D92+E92)/2</f>
        <v/>
      </c>
      <c r="G92" s="12">
        <f>IF(원데이터!H92&lt;&gt;"",원데이터!H92/10,IF(원데이터!I92&lt;&gt;"",0.6108*EXP(17.27*원데이터!I92/(원데이터!I92+237.3)),원데이터!E92/100*F92))</f>
        <v/>
      </c>
      <c r="H92" s="21">
        <f>4098*(0.6108*EXP(17.27*C92/(C92+237.3)))/(C92+237.3)^2</f>
        <v/>
      </c>
      <c r="I92" s="17">
        <f>IF(원데이터!J92&lt;&gt;"",원데이터!J92/10,101.3*((293-0.0065*설정!$B$3)/293)^5.26)</f>
        <v/>
      </c>
      <c r="J92" s="21">
        <f>0.000665*I92</f>
        <v/>
      </c>
      <c r="K92" s="18">
        <f>원데이터!G92*4.87/LN(67.8*설정!$B$4-5.42)</f>
        <v/>
      </c>
      <c r="L92" s="12">
        <f>1+0.033*COS(2*PI()*B92/365)</f>
        <v/>
      </c>
      <c r="M92" s="21">
        <f>0.409*SIN(2*PI()*B92/365-1.39)</f>
        <v/>
      </c>
      <c r="N92" s="21">
        <f>ACOS(-TAN(RADIANS(설정!$B$2))*TAN(M92))</f>
        <v/>
      </c>
      <c r="O92" s="18">
        <f>(24*60/PI())*0.082*L92*(N92*SIN(RADIANS(설정!$B$2))*SIN(M92)+COS(RADIANS(설정!$B$2))*COS(M92)*SIN(N92))</f>
        <v/>
      </c>
      <c r="P92" s="18">
        <f>(0.75+0.00002*설정!$B$3)*O92</f>
        <v/>
      </c>
      <c r="Q92" s="18">
        <f>IF(원데이터!K92&lt;&gt;"",원데이터!K92,(0.25+0.5*원데이터!L92/(24/PI()*N92))*O92)</f>
        <v/>
      </c>
      <c r="R92" s="18">
        <f>0.77*Q92</f>
        <v/>
      </c>
      <c r="S92" s="18">
        <f>0.000000004903*(((원데이터!B92+273.16)^4+(원데이터!C92+273.16)^4)/2)*(0.34-0.14*SQRT(G92))*(1.35*MIN(Q92/P92,1)-0.35)</f>
        <v/>
      </c>
      <c r="T92" s="18">
        <f>R92-S92</f>
        <v/>
      </c>
      <c r="U92" s="18">
        <f>(0.408*H92*T92+J92*(900/(C92+273))*K92*(F92-G92))/(H92+J92*(1+0.34*K92))</f>
        <v/>
      </c>
      <c r="V92" s="11">
        <f>IF(원데이터!A92-설정!$B$16&lt;0,"발아전",IF(원데이터!A92-설정!$B$16&lt;설정!$B$17,"초기",IF(원데이터!A92-설정!$B$16&lt;설정!$B$17+설정!$B$18,"발육",IF(원데이터!A92-설정!$B$16&lt;설정!$B$17+설정!$B$18+설정!$B$19,"중기",IF(원데이터!A92-설정!$B$16&lt;설정!$B$17+설정!$B$18+설정!$B$19+설정!$B$20,"후기","후기이후")))))</f>
        <v/>
      </c>
      <c r="W92" s="12">
        <f>IF(원데이터!A92-설정!$B$16&lt;0,0,IF(원데이터!A92-설정!$B$16&lt;설정!$B$17,설정!$B$33,IF(원데이터!A92-설정!$B$16&lt;설정!$B$17+설정!$B$18,설정!$B$33+(설정!$B$34-설정!$B$33)*(원데이터!A92-설정!$B$16-설정!$B$17+1)/설정!$B$18,IF(원데이터!A92-설정!$B$16&lt;설정!$B$17+설정!$B$18+설정!$B$19,설정!$B$34,IF(원데이터!A92-설정!$B$16&lt;설정!$B$17+설정!$B$18+설정!$B$19+설정!$B$20,설정!$B$34+(설정!$B$35-설정!$B$34)*(원데이터!A92-설정!$B$16-설정!$B$17-설정!$B$18-설정!$B$19+1)/설정!$B$20,0)))))</f>
        <v/>
      </c>
      <c r="X92" s="12">
        <f>0.108-0.0286*K92+0.0422*LN(설정!$B$5)+0.1434*LN(원데이터!E92)-0.000631*LN(설정!$B$5)^2*LN(원데이터!E92)</f>
        <v/>
      </c>
      <c r="Y92" s="17">
        <f>원데이터!M92</f>
        <v/>
      </c>
      <c r="Z92" s="18">
        <f>X92*Y92</f>
        <v/>
      </c>
      <c r="AA92" s="18">
        <f>U92*W92</f>
        <v/>
      </c>
      <c r="AB92" s="18">
        <f>Z92*W92</f>
        <v/>
      </c>
    </row>
    <row r="93">
      <c r="A93" s="15">
        <f>원데이터!A93</f>
        <v/>
      </c>
      <c r="B93" s="14">
        <f>원데이터!A93-DATE(YEAR(원데이터!A93),1,1)+1</f>
        <v/>
      </c>
      <c r="C93" s="17">
        <f>(원데이터!B93+원데이터!C93)/2</f>
        <v/>
      </c>
      <c r="D93" s="12">
        <f>0.6108*EXP(17.27*원데이터!B93/(원데이터!B93+237.3))</f>
        <v/>
      </c>
      <c r="E93" s="12">
        <f>0.6108*EXP(17.27*원데이터!C93/(원데이터!C93+237.3))</f>
        <v/>
      </c>
      <c r="F93" s="12">
        <f>(D93+E93)/2</f>
        <v/>
      </c>
      <c r="G93" s="12">
        <f>IF(원데이터!H93&lt;&gt;"",원데이터!H93/10,IF(원데이터!I93&lt;&gt;"",0.6108*EXP(17.27*원데이터!I93/(원데이터!I93+237.3)),원데이터!E93/100*F93))</f>
        <v/>
      </c>
      <c r="H93" s="21">
        <f>4098*(0.6108*EXP(17.27*C93/(C93+237.3)))/(C93+237.3)^2</f>
        <v/>
      </c>
      <c r="I93" s="17">
        <f>IF(원데이터!J93&lt;&gt;"",원데이터!J93/10,101.3*((293-0.0065*설정!$B$3)/293)^5.26)</f>
        <v/>
      </c>
      <c r="J93" s="21">
        <f>0.000665*I93</f>
        <v/>
      </c>
      <c r="K93" s="18">
        <f>원데이터!G93*4.87/LN(67.8*설정!$B$4-5.42)</f>
        <v/>
      </c>
      <c r="L93" s="12">
        <f>1+0.033*COS(2*PI()*B93/365)</f>
        <v/>
      </c>
      <c r="M93" s="21">
        <f>0.409*SIN(2*PI()*B93/365-1.39)</f>
        <v/>
      </c>
      <c r="N93" s="21">
        <f>ACOS(-TAN(RADIANS(설정!$B$2))*TAN(M93))</f>
        <v/>
      </c>
      <c r="O93" s="18">
        <f>(24*60/PI())*0.082*L93*(N93*SIN(RADIANS(설정!$B$2))*SIN(M93)+COS(RADIANS(설정!$B$2))*COS(M93)*SIN(N93))</f>
        <v/>
      </c>
      <c r="P93" s="18">
        <f>(0.75+0.00002*설정!$B$3)*O93</f>
        <v/>
      </c>
      <c r="Q93" s="18">
        <f>IF(원데이터!K93&lt;&gt;"",원데이터!K93,(0.25+0.5*원데이터!L93/(24/PI()*N93))*O93)</f>
        <v/>
      </c>
      <c r="R93" s="18">
        <f>0.77*Q93</f>
        <v/>
      </c>
      <c r="S93" s="18">
        <f>0.000000004903*(((원데이터!B93+273.16)^4+(원데이터!C93+273.16)^4)/2)*(0.34-0.14*SQRT(G93))*(1.35*MIN(Q93/P93,1)-0.35)</f>
        <v/>
      </c>
      <c r="T93" s="18">
        <f>R93-S93</f>
        <v/>
      </c>
      <c r="U93" s="18">
        <f>(0.408*H93*T93+J93*(900/(C93+273))*K93*(F93-G93))/(H93+J93*(1+0.34*K93))</f>
        <v/>
      </c>
      <c r="V93" s="11">
        <f>IF(원데이터!A93-설정!$B$16&lt;0,"발아전",IF(원데이터!A93-설정!$B$16&lt;설정!$B$17,"초기",IF(원데이터!A93-설정!$B$16&lt;설정!$B$17+설정!$B$18,"발육",IF(원데이터!A93-설정!$B$16&lt;설정!$B$17+설정!$B$18+설정!$B$19,"중기",IF(원데이터!A93-설정!$B$16&lt;설정!$B$17+설정!$B$18+설정!$B$19+설정!$B$20,"후기","후기이후")))))</f>
        <v/>
      </c>
      <c r="W93" s="12">
        <f>IF(원데이터!A93-설정!$B$16&lt;0,0,IF(원데이터!A93-설정!$B$16&lt;설정!$B$17,설정!$B$33,IF(원데이터!A93-설정!$B$16&lt;설정!$B$17+설정!$B$18,설정!$B$33+(설정!$B$34-설정!$B$33)*(원데이터!A93-설정!$B$16-설정!$B$17+1)/설정!$B$18,IF(원데이터!A93-설정!$B$16&lt;설정!$B$17+설정!$B$18+설정!$B$19,설정!$B$34,IF(원데이터!A93-설정!$B$16&lt;설정!$B$17+설정!$B$18+설정!$B$19+설정!$B$20,설정!$B$34+(설정!$B$35-설정!$B$34)*(원데이터!A93-설정!$B$16-설정!$B$17-설정!$B$18-설정!$B$19+1)/설정!$B$20,0)))))</f>
        <v/>
      </c>
      <c r="X93" s="12">
        <f>0.108-0.0286*K93+0.0422*LN(설정!$B$5)+0.1434*LN(원데이터!E93)-0.000631*LN(설정!$B$5)^2*LN(원데이터!E93)</f>
        <v/>
      </c>
      <c r="Y93" s="17">
        <f>원데이터!M93</f>
        <v/>
      </c>
      <c r="Z93" s="18">
        <f>X93*Y93</f>
        <v/>
      </c>
      <c r="AA93" s="18">
        <f>U93*W93</f>
        <v/>
      </c>
      <c r="AB93" s="18">
        <f>Z93*W93</f>
        <v/>
      </c>
    </row>
    <row r="94">
      <c r="A94" s="15">
        <f>원데이터!A94</f>
        <v/>
      </c>
      <c r="B94" s="14">
        <f>원데이터!A94-DATE(YEAR(원데이터!A94),1,1)+1</f>
        <v/>
      </c>
      <c r="C94" s="17">
        <f>(원데이터!B94+원데이터!C94)/2</f>
        <v/>
      </c>
      <c r="D94" s="12">
        <f>0.6108*EXP(17.27*원데이터!B94/(원데이터!B94+237.3))</f>
        <v/>
      </c>
      <c r="E94" s="12">
        <f>0.6108*EXP(17.27*원데이터!C94/(원데이터!C94+237.3))</f>
        <v/>
      </c>
      <c r="F94" s="12">
        <f>(D94+E94)/2</f>
        <v/>
      </c>
      <c r="G94" s="12">
        <f>IF(원데이터!H94&lt;&gt;"",원데이터!H94/10,IF(원데이터!I94&lt;&gt;"",0.6108*EXP(17.27*원데이터!I94/(원데이터!I94+237.3)),원데이터!E94/100*F94))</f>
        <v/>
      </c>
      <c r="H94" s="21">
        <f>4098*(0.6108*EXP(17.27*C94/(C94+237.3)))/(C94+237.3)^2</f>
        <v/>
      </c>
      <c r="I94" s="17">
        <f>IF(원데이터!J94&lt;&gt;"",원데이터!J94/10,101.3*((293-0.0065*설정!$B$3)/293)^5.26)</f>
        <v/>
      </c>
      <c r="J94" s="21">
        <f>0.000665*I94</f>
        <v/>
      </c>
      <c r="K94" s="18">
        <f>원데이터!G94*4.87/LN(67.8*설정!$B$4-5.42)</f>
        <v/>
      </c>
      <c r="L94" s="12">
        <f>1+0.033*COS(2*PI()*B94/365)</f>
        <v/>
      </c>
      <c r="M94" s="21">
        <f>0.409*SIN(2*PI()*B94/365-1.39)</f>
        <v/>
      </c>
      <c r="N94" s="21">
        <f>ACOS(-TAN(RADIANS(설정!$B$2))*TAN(M94))</f>
        <v/>
      </c>
      <c r="O94" s="18">
        <f>(24*60/PI())*0.082*L94*(N94*SIN(RADIANS(설정!$B$2))*SIN(M94)+COS(RADIANS(설정!$B$2))*COS(M94)*SIN(N94))</f>
        <v/>
      </c>
      <c r="P94" s="18">
        <f>(0.75+0.00002*설정!$B$3)*O94</f>
        <v/>
      </c>
      <c r="Q94" s="18">
        <f>IF(원데이터!K94&lt;&gt;"",원데이터!K94,(0.25+0.5*원데이터!L94/(24/PI()*N94))*O94)</f>
        <v/>
      </c>
      <c r="R94" s="18">
        <f>0.77*Q94</f>
        <v/>
      </c>
      <c r="S94" s="18">
        <f>0.000000004903*(((원데이터!B94+273.16)^4+(원데이터!C94+273.16)^4)/2)*(0.34-0.14*SQRT(G94))*(1.35*MIN(Q94/P94,1)-0.35)</f>
        <v/>
      </c>
      <c r="T94" s="18">
        <f>R94-S94</f>
        <v/>
      </c>
      <c r="U94" s="18">
        <f>(0.408*H94*T94+J94*(900/(C94+273))*K94*(F94-G94))/(H94+J94*(1+0.34*K94))</f>
        <v/>
      </c>
      <c r="V94" s="11">
        <f>IF(원데이터!A94-설정!$B$16&lt;0,"발아전",IF(원데이터!A94-설정!$B$16&lt;설정!$B$17,"초기",IF(원데이터!A94-설정!$B$16&lt;설정!$B$17+설정!$B$18,"발육",IF(원데이터!A94-설정!$B$16&lt;설정!$B$17+설정!$B$18+설정!$B$19,"중기",IF(원데이터!A94-설정!$B$16&lt;설정!$B$17+설정!$B$18+설정!$B$19+설정!$B$20,"후기","후기이후")))))</f>
        <v/>
      </c>
      <c r="W94" s="12">
        <f>IF(원데이터!A94-설정!$B$16&lt;0,0,IF(원데이터!A94-설정!$B$16&lt;설정!$B$17,설정!$B$33,IF(원데이터!A94-설정!$B$16&lt;설정!$B$17+설정!$B$18,설정!$B$33+(설정!$B$34-설정!$B$33)*(원데이터!A94-설정!$B$16-설정!$B$17+1)/설정!$B$18,IF(원데이터!A94-설정!$B$16&lt;설정!$B$17+설정!$B$18+설정!$B$19,설정!$B$34,IF(원데이터!A94-설정!$B$16&lt;설정!$B$17+설정!$B$18+설정!$B$19+설정!$B$20,설정!$B$34+(설정!$B$35-설정!$B$34)*(원데이터!A94-설정!$B$16-설정!$B$17-설정!$B$18-설정!$B$19+1)/설정!$B$20,0)))))</f>
        <v/>
      </c>
      <c r="X94" s="12">
        <f>0.108-0.0286*K94+0.0422*LN(설정!$B$5)+0.1434*LN(원데이터!E94)-0.000631*LN(설정!$B$5)^2*LN(원데이터!E94)</f>
        <v/>
      </c>
      <c r="Y94" s="17">
        <f>원데이터!M94</f>
        <v/>
      </c>
      <c r="Z94" s="18">
        <f>X94*Y94</f>
        <v/>
      </c>
      <c r="AA94" s="18">
        <f>U94*W94</f>
        <v/>
      </c>
      <c r="AB94" s="18">
        <f>Z94*W94</f>
        <v/>
      </c>
    </row>
    <row r="95">
      <c r="A95" s="15">
        <f>원데이터!A95</f>
        <v/>
      </c>
      <c r="B95" s="14">
        <f>원데이터!A95-DATE(YEAR(원데이터!A95),1,1)+1</f>
        <v/>
      </c>
      <c r="C95" s="17">
        <f>(원데이터!B95+원데이터!C95)/2</f>
        <v/>
      </c>
      <c r="D95" s="12">
        <f>0.6108*EXP(17.27*원데이터!B95/(원데이터!B95+237.3))</f>
        <v/>
      </c>
      <c r="E95" s="12">
        <f>0.6108*EXP(17.27*원데이터!C95/(원데이터!C95+237.3))</f>
        <v/>
      </c>
      <c r="F95" s="12">
        <f>(D95+E95)/2</f>
        <v/>
      </c>
      <c r="G95" s="12">
        <f>IF(원데이터!H95&lt;&gt;"",원데이터!H95/10,IF(원데이터!I95&lt;&gt;"",0.6108*EXP(17.27*원데이터!I95/(원데이터!I95+237.3)),원데이터!E95/100*F95))</f>
        <v/>
      </c>
      <c r="H95" s="21">
        <f>4098*(0.6108*EXP(17.27*C95/(C95+237.3)))/(C95+237.3)^2</f>
        <v/>
      </c>
      <c r="I95" s="17">
        <f>IF(원데이터!J95&lt;&gt;"",원데이터!J95/10,101.3*((293-0.0065*설정!$B$3)/293)^5.26)</f>
        <v/>
      </c>
      <c r="J95" s="21">
        <f>0.000665*I95</f>
        <v/>
      </c>
      <c r="K95" s="18">
        <f>원데이터!G95*4.87/LN(67.8*설정!$B$4-5.42)</f>
        <v/>
      </c>
      <c r="L95" s="12">
        <f>1+0.033*COS(2*PI()*B95/365)</f>
        <v/>
      </c>
      <c r="M95" s="21">
        <f>0.409*SIN(2*PI()*B95/365-1.39)</f>
        <v/>
      </c>
      <c r="N95" s="21">
        <f>ACOS(-TAN(RADIANS(설정!$B$2))*TAN(M95))</f>
        <v/>
      </c>
      <c r="O95" s="18">
        <f>(24*60/PI())*0.082*L95*(N95*SIN(RADIANS(설정!$B$2))*SIN(M95)+COS(RADIANS(설정!$B$2))*COS(M95)*SIN(N95))</f>
        <v/>
      </c>
      <c r="P95" s="18">
        <f>(0.75+0.00002*설정!$B$3)*O95</f>
        <v/>
      </c>
      <c r="Q95" s="18">
        <f>IF(원데이터!K95&lt;&gt;"",원데이터!K95,(0.25+0.5*원데이터!L95/(24/PI()*N95))*O95)</f>
        <v/>
      </c>
      <c r="R95" s="18">
        <f>0.77*Q95</f>
        <v/>
      </c>
      <c r="S95" s="18">
        <f>0.000000004903*(((원데이터!B95+273.16)^4+(원데이터!C95+273.16)^4)/2)*(0.34-0.14*SQRT(G95))*(1.35*MIN(Q95/P95,1)-0.35)</f>
        <v/>
      </c>
      <c r="T95" s="18">
        <f>R95-S95</f>
        <v/>
      </c>
      <c r="U95" s="18">
        <f>(0.408*H95*T95+J95*(900/(C95+273))*K95*(F95-G95))/(H95+J95*(1+0.34*K95))</f>
        <v/>
      </c>
      <c r="V95" s="11">
        <f>IF(원데이터!A95-설정!$B$16&lt;0,"발아전",IF(원데이터!A95-설정!$B$16&lt;설정!$B$17,"초기",IF(원데이터!A95-설정!$B$16&lt;설정!$B$17+설정!$B$18,"발육",IF(원데이터!A95-설정!$B$16&lt;설정!$B$17+설정!$B$18+설정!$B$19,"중기",IF(원데이터!A95-설정!$B$16&lt;설정!$B$17+설정!$B$18+설정!$B$19+설정!$B$20,"후기","후기이후")))))</f>
        <v/>
      </c>
      <c r="W95" s="12">
        <f>IF(원데이터!A95-설정!$B$16&lt;0,0,IF(원데이터!A95-설정!$B$16&lt;설정!$B$17,설정!$B$33,IF(원데이터!A95-설정!$B$16&lt;설정!$B$17+설정!$B$18,설정!$B$33+(설정!$B$34-설정!$B$33)*(원데이터!A95-설정!$B$16-설정!$B$17+1)/설정!$B$18,IF(원데이터!A95-설정!$B$16&lt;설정!$B$17+설정!$B$18+설정!$B$19,설정!$B$34,IF(원데이터!A95-설정!$B$16&lt;설정!$B$17+설정!$B$18+설정!$B$19+설정!$B$20,설정!$B$34+(설정!$B$35-설정!$B$34)*(원데이터!A95-설정!$B$16-설정!$B$17-설정!$B$18-설정!$B$19+1)/설정!$B$20,0)))))</f>
        <v/>
      </c>
      <c r="X95" s="12">
        <f>0.108-0.0286*K95+0.0422*LN(설정!$B$5)+0.1434*LN(원데이터!E95)-0.000631*LN(설정!$B$5)^2*LN(원데이터!E95)</f>
        <v/>
      </c>
      <c r="Y95" s="17">
        <f>원데이터!M95</f>
        <v/>
      </c>
      <c r="Z95" s="18">
        <f>X95*Y95</f>
        <v/>
      </c>
      <c r="AA95" s="18">
        <f>U95*W95</f>
        <v/>
      </c>
      <c r="AB95" s="18">
        <f>Z95*W95</f>
        <v/>
      </c>
    </row>
    <row r="96">
      <c r="A96" s="15">
        <f>원데이터!A96</f>
        <v/>
      </c>
      <c r="B96" s="14">
        <f>원데이터!A96-DATE(YEAR(원데이터!A96),1,1)+1</f>
        <v/>
      </c>
      <c r="C96" s="17">
        <f>(원데이터!B96+원데이터!C96)/2</f>
        <v/>
      </c>
      <c r="D96" s="12">
        <f>0.6108*EXP(17.27*원데이터!B96/(원데이터!B96+237.3))</f>
        <v/>
      </c>
      <c r="E96" s="12">
        <f>0.6108*EXP(17.27*원데이터!C96/(원데이터!C96+237.3))</f>
        <v/>
      </c>
      <c r="F96" s="12">
        <f>(D96+E96)/2</f>
        <v/>
      </c>
      <c r="G96" s="12">
        <f>IF(원데이터!H96&lt;&gt;"",원데이터!H96/10,IF(원데이터!I96&lt;&gt;"",0.6108*EXP(17.27*원데이터!I96/(원데이터!I96+237.3)),원데이터!E96/100*F96))</f>
        <v/>
      </c>
      <c r="H96" s="21">
        <f>4098*(0.6108*EXP(17.27*C96/(C96+237.3)))/(C96+237.3)^2</f>
        <v/>
      </c>
      <c r="I96" s="17">
        <f>IF(원데이터!J96&lt;&gt;"",원데이터!J96/10,101.3*((293-0.0065*설정!$B$3)/293)^5.26)</f>
        <v/>
      </c>
      <c r="J96" s="21">
        <f>0.000665*I96</f>
        <v/>
      </c>
      <c r="K96" s="18">
        <f>원데이터!G96*4.87/LN(67.8*설정!$B$4-5.42)</f>
        <v/>
      </c>
      <c r="L96" s="12">
        <f>1+0.033*COS(2*PI()*B96/365)</f>
        <v/>
      </c>
      <c r="M96" s="21">
        <f>0.409*SIN(2*PI()*B96/365-1.39)</f>
        <v/>
      </c>
      <c r="N96" s="21">
        <f>ACOS(-TAN(RADIANS(설정!$B$2))*TAN(M96))</f>
        <v/>
      </c>
      <c r="O96" s="18">
        <f>(24*60/PI())*0.082*L96*(N96*SIN(RADIANS(설정!$B$2))*SIN(M96)+COS(RADIANS(설정!$B$2))*COS(M96)*SIN(N96))</f>
        <v/>
      </c>
      <c r="P96" s="18">
        <f>(0.75+0.00002*설정!$B$3)*O96</f>
        <v/>
      </c>
      <c r="Q96" s="18">
        <f>IF(원데이터!K96&lt;&gt;"",원데이터!K96,(0.25+0.5*원데이터!L96/(24/PI()*N96))*O96)</f>
        <v/>
      </c>
      <c r="R96" s="18">
        <f>0.77*Q96</f>
        <v/>
      </c>
      <c r="S96" s="18">
        <f>0.000000004903*(((원데이터!B96+273.16)^4+(원데이터!C96+273.16)^4)/2)*(0.34-0.14*SQRT(G96))*(1.35*MIN(Q96/P96,1)-0.35)</f>
        <v/>
      </c>
      <c r="T96" s="18">
        <f>R96-S96</f>
        <v/>
      </c>
      <c r="U96" s="18">
        <f>(0.408*H96*T96+J96*(900/(C96+273))*K96*(F96-G96))/(H96+J96*(1+0.34*K96))</f>
        <v/>
      </c>
      <c r="V96" s="11">
        <f>IF(원데이터!A96-설정!$B$16&lt;0,"발아전",IF(원데이터!A96-설정!$B$16&lt;설정!$B$17,"초기",IF(원데이터!A96-설정!$B$16&lt;설정!$B$17+설정!$B$18,"발육",IF(원데이터!A96-설정!$B$16&lt;설정!$B$17+설정!$B$18+설정!$B$19,"중기",IF(원데이터!A96-설정!$B$16&lt;설정!$B$17+설정!$B$18+설정!$B$19+설정!$B$20,"후기","후기이후")))))</f>
        <v/>
      </c>
      <c r="W96" s="12">
        <f>IF(원데이터!A96-설정!$B$16&lt;0,0,IF(원데이터!A96-설정!$B$16&lt;설정!$B$17,설정!$B$33,IF(원데이터!A96-설정!$B$16&lt;설정!$B$17+설정!$B$18,설정!$B$33+(설정!$B$34-설정!$B$33)*(원데이터!A96-설정!$B$16-설정!$B$17+1)/설정!$B$18,IF(원데이터!A96-설정!$B$16&lt;설정!$B$17+설정!$B$18+설정!$B$19,설정!$B$34,IF(원데이터!A96-설정!$B$16&lt;설정!$B$17+설정!$B$18+설정!$B$19+설정!$B$20,설정!$B$34+(설정!$B$35-설정!$B$34)*(원데이터!A96-설정!$B$16-설정!$B$17-설정!$B$18-설정!$B$19+1)/설정!$B$20,0)))))</f>
        <v/>
      </c>
      <c r="X96" s="12">
        <f>0.108-0.0286*K96+0.0422*LN(설정!$B$5)+0.1434*LN(원데이터!E96)-0.000631*LN(설정!$B$5)^2*LN(원데이터!E96)</f>
        <v/>
      </c>
      <c r="Y96" s="17">
        <f>원데이터!M96</f>
        <v/>
      </c>
      <c r="Z96" s="18">
        <f>X96*Y96</f>
        <v/>
      </c>
      <c r="AA96" s="18">
        <f>U96*W96</f>
        <v/>
      </c>
      <c r="AB96" s="18">
        <f>Z96*W96</f>
        <v/>
      </c>
    </row>
    <row r="97">
      <c r="A97" s="15">
        <f>원데이터!A97</f>
        <v/>
      </c>
      <c r="B97" s="14">
        <f>원데이터!A97-DATE(YEAR(원데이터!A97),1,1)+1</f>
        <v/>
      </c>
      <c r="C97" s="17">
        <f>(원데이터!B97+원데이터!C97)/2</f>
        <v/>
      </c>
      <c r="D97" s="12">
        <f>0.6108*EXP(17.27*원데이터!B97/(원데이터!B97+237.3))</f>
        <v/>
      </c>
      <c r="E97" s="12">
        <f>0.6108*EXP(17.27*원데이터!C97/(원데이터!C97+237.3))</f>
        <v/>
      </c>
      <c r="F97" s="12">
        <f>(D97+E97)/2</f>
        <v/>
      </c>
      <c r="G97" s="12">
        <f>IF(원데이터!H97&lt;&gt;"",원데이터!H97/10,IF(원데이터!I97&lt;&gt;"",0.6108*EXP(17.27*원데이터!I97/(원데이터!I97+237.3)),원데이터!E97/100*F97))</f>
        <v/>
      </c>
      <c r="H97" s="21">
        <f>4098*(0.6108*EXP(17.27*C97/(C97+237.3)))/(C97+237.3)^2</f>
        <v/>
      </c>
      <c r="I97" s="17">
        <f>IF(원데이터!J97&lt;&gt;"",원데이터!J97/10,101.3*((293-0.0065*설정!$B$3)/293)^5.26)</f>
        <v/>
      </c>
      <c r="J97" s="21">
        <f>0.000665*I97</f>
        <v/>
      </c>
      <c r="K97" s="18">
        <f>원데이터!G97*4.87/LN(67.8*설정!$B$4-5.42)</f>
        <v/>
      </c>
      <c r="L97" s="12">
        <f>1+0.033*COS(2*PI()*B97/365)</f>
        <v/>
      </c>
      <c r="M97" s="21">
        <f>0.409*SIN(2*PI()*B97/365-1.39)</f>
        <v/>
      </c>
      <c r="N97" s="21">
        <f>ACOS(-TAN(RADIANS(설정!$B$2))*TAN(M97))</f>
        <v/>
      </c>
      <c r="O97" s="18">
        <f>(24*60/PI())*0.082*L97*(N97*SIN(RADIANS(설정!$B$2))*SIN(M97)+COS(RADIANS(설정!$B$2))*COS(M97)*SIN(N97))</f>
        <v/>
      </c>
      <c r="P97" s="18">
        <f>(0.75+0.00002*설정!$B$3)*O97</f>
        <v/>
      </c>
      <c r="Q97" s="18">
        <f>IF(원데이터!K97&lt;&gt;"",원데이터!K97,(0.25+0.5*원데이터!L97/(24/PI()*N97))*O97)</f>
        <v/>
      </c>
      <c r="R97" s="18">
        <f>0.77*Q97</f>
        <v/>
      </c>
      <c r="S97" s="18">
        <f>0.000000004903*(((원데이터!B97+273.16)^4+(원데이터!C97+273.16)^4)/2)*(0.34-0.14*SQRT(G97))*(1.35*MIN(Q97/P97,1)-0.35)</f>
        <v/>
      </c>
      <c r="T97" s="18">
        <f>R97-S97</f>
        <v/>
      </c>
      <c r="U97" s="18">
        <f>(0.408*H97*T97+J97*(900/(C97+273))*K97*(F97-G97))/(H97+J97*(1+0.34*K97))</f>
        <v/>
      </c>
      <c r="V97" s="11">
        <f>IF(원데이터!A97-설정!$B$16&lt;0,"발아전",IF(원데이터!A97-설정!$B$16&lt;설정!$B$17,"초기",IF(원데이터!A97-설정!$B$16&lt;설정!$B$17+설정!$B$18,"발육",IF(원데이터!A97-설정!$B$16&lt;설정!$B$17+설정!$B$18+설정!$B$19,"중기",IF(원데이터!A97-설정!$B$16&lt;설정!$B$17+설정!$B$18+설정!$B$19+설정!$B$20,"후기","후기이후")))))</f>
        <v/>
      </c>
      <c r="W97" s="12">
        <f>IF(원데이터!A97-설정!$B$16&lt;0,0,IF(원데이터!A97-설정!$B$16&lt;설정!$B$17,설정!$B$33,IF(원데이터!A97-설정!$B$16&lt;설정!$B$17+설정!$B$18,설정!$B$33+(설정!$B$34-설정!$B$33)*(원데이터!A97-설정!$B$16-설정!$B$17+1)/설정!$B$18,IF(원데이터!A97-설정!$B$16&lt;설정!$B$17+설정!$B$18+설정!$B$19,설정!$B$34,IF(원데이터!A97-설정!$B$16&lt;설정!$B$17+설정!$B$18+설정!$B$19+설정!$B$20,설정!$B$34+(설정!$B$35-설정!$B$34)*(원데이터!A97-설정!$B$16-설정!$B$17-설정!$B$18-설정!$B$19+1)/설정!$B$20,0)))))</f>
        <v/>
      </c>
      <c r="X97" s="12">
        <f>0.108-0.0286*K97+0.0422*LN(설정!$B$5)+0.1434*LN(원데이터!E97)-0.000631*LN(설정!$B$5)^2*LN(원데이터!E97)</f>
        <v/>
      </c>
      <c r="Y97" s="17">
        <f>원데이터!M97</f>
        <v/>
      </c>
      <c r="Z97" s="18">
        <f>X97*Y97</f>
        <v/>
      </c>
      <c r="AA97" s="18">
        <f>U97*W97</f>
        <v/>
      </c>
      <c r="AB97" s="18">
        <f>Z97*W97</f>
        <v/>
      </c>
    </row>
    <row r="98">
      <c r="A98" s="15">
        <f>원데이터!A98</f>
        <v/>
      </c>
      <c r="B98" s="14">
        <f>원데이터!A98-DATE(YEAR(원데이터!A98),1,1)+1</f>
        <v/>
      </c>
      <c r="C98" s="17">
        <f>(원데이터!B98+원데이터!C98)/2</f>
        <v/>
      </c>
      <c r="D98" s="12">
        <f>0.6108*EXP(17.27*원데이터!B98/(원데이터!B98+237.3))</f>
        <v/>
      </c>
      <c r="E98" s="12">
        <f>0.6108*EXP(17.27*원데이터!C98/(원데이터!C98+237.3))</f>
        <v/>
      </c>
      <c r="F98" s="12">
        <f>(D98+E98)/2</f>
        <v/>
      </c>
      <c r="G98" s="12">
        <f>IF(원데이터!H98&lt;&gt;"",원데이터!H98/10,IF(원데이터!I98&lt;&gt;"",0.6108*EXP(17.27*원데이터!I98/(원데이터!I98+237.3)),원데이터!E98/100*F98))</f>
        <v/>
      </c>
      <c r="H98" s="21">
        <f>4098*(0.6108*EXP(17.27*C98/(C98+237.3)))/(C98+237.3)^2</f>
        <v/>
      </c>
      <c r="I98" s="17">
        <f>IF(원데이터!J98&lt;&gt;"",원데이터!J98/10,101.3*((293-0.0065*설정!$B$3)/293)^5.26)</f>
        <v/>
      </c>
      <c r="J98" s="21">
        <f>0.000665*I98</f>
        <v/>
      </c>
      <c r="K98" s="18">
        <f>원데이터!G98*4.87/LN(67.8*설정!$B$4-5.42)</f>
        <v/>
      </c>
      <c r="L98" s="12">
        <f>1+0.033*COS(2*PI()*B98/365)</f>
        <v/>
      </c>
      <c r="M98" s="21">
        <f>0.409*SIN(2*PI()*B98/365-1.39)</f>
        <v/>
      </c>
      <c r="N98" s="21">
        <f>ACOS(-TAN(RADIANS(설정!$B$2))*TAN(M98))</f>
        <v/>
      </c>
      <c r="O98" s="18">
        <f>(24*60/PI())*0.082*L98*(N98*SIN(RADIANS(설정!$B$2))*SIN(M98)+COS(RADIANS(설정!$B$2))*COS(M98)*SIN(N98))</f>
        <v/>
      </c>
      <c r="P98" s="18">
        <f>(0.75+0.00002*설정!$B$3)*O98</f>
        <v/>
      </c>
      <c r="Q98" s="18">
        <f>IF(원데이터!K98&lt;&gt;"",원데이터!K98,(0.25+0.5*원데이터!L98/(24/PI()*N98))*O98)</f>
        <v/>
      </c>
      <c r="R98" s="18">
        <f>0.77*Q98</f>
        <v/>
      </c>
      <c r="S98" s="18">
        <f>0.000000004903*(((원데이터!B98+273.16)^4+(원데이터!C98+273.16)^4)/2)*(0.34-0.14*SQRT(G98))*(1.35*MIN(Q98/P98,1)-0.35)</f>
        <v/>
      </c>
      <c r="T98" s="18">
        <f>R98-S98</f>
        <v/>
      </c>
      <c r="U98" s="18">
        <f>(0.408*H98*T98+J98*(900/(C98+273))*K98*(F98-G98))/(H98+J98*(1+0.34*K98))</f>
        <v/>
      </c>
      <c r="V98" s="11">
        <f>IF(원데이터!A98-설정!$B$16&lt;0,"발아전",IF(원데이터!A98-설정!$B$16&lt;설정!$B$17,"초기",IF(원데이터!A98-설정!$B$16&lt;설정!$B$17+설정!$B$18,"발육",IF(원데이터!A98-설정!$B$16&lt;설정!$B$17+설정!$B$18+설정!$B$19,"중기",IF(원데이터!A98-설정!$B$16&lt;설정!$B$17+설정!$B$18+설정!$B$19+설정!$B$20,"후기","후기이후")))))</f>
        <v/>
      </c>
      <c r="W98" s="12">
        <f>IF(원데이터!A98-설정!$B$16&lt;0,0,IF(원데이터!A98-설정!$B$16&lt;설정!$B$17,설정!$B$33,IF(원데이터!A98-설정!$B$16&lt;설정!$B$17+설정!$B$18,설정!$B$33+(설정!$B$34-설정!$B$33)*(원데이터!A98-설정!$B$16-설정!$B$17+1)/설정!$B$18,IF(원데이터!A98-설정!$B$16&lt;설정!$B$17+설정!$B$18+설정!$B$19,설정!$B$34,IF(원데이터!A98-설정!$B$16&lt;설정!$B$17+설정!$B$18+설정!$B$19+설정!$B$20,설정!$B$34+(설정!$B$35-설정!$B$34)*(원데이터!A98-설정!$B$16-설정!$B$17-설정!$B$18-설정!$B$19+1)/설정!$B$20,0)))))</f>
        <v/>
      </c>
      <c r="X98" s="12">
        <f>0.108-0.0286*K98+0.0422*LN(설정!$B$5)+0.1434*LN(원데이터!E98)-0.000631*LN(설정!$B$5)^2*LN(원데이터!E98)</f>
        <v/>
      </c>
      <c r="Y98" s="17">
        <f>원데이터!M98</f>
        <v/>
      </c>
      <c r="Z98" s="18">
        <f>X98*Y98</f>
        <v/>
      </c>
      <c r="AA98" s="18">
        <f>U98*W98</f>
        <v/>
      </c>
      <c r="AB98" s="18">
        <f>Z98*W98</f>
        <v/>
      </c>
    </row>
    <row r="99">
      <c r="A99" s="15">
        <f>원데이터!A99</f>
        <v/>
      </c>
      <c r="B99" s="14">
        <f>원데이터!A99-DATE(YEAR(원데이터!A99),1,1)+1</f>
        <v/>
      </c>
      <c r="C99" s="17">
        <f>(원데이터!B99+원데이터!C99)/2</f>
        <v/>
      </c>
      <c r="D99" s="12">
        <f>0.6108*EXP(17.27*원데이터!B99/(원데이터!B99+237.3))</f>
        <v/>
      </c>
      <c r="E99" s="12">
        <f>0.6108*EXP(17.27*원데이터!C99/(원데이터!C99+237.3))</f>
        <v/>
      </c>
      <c r="F99" s="12">
        <f>(D99+E99)/2</f>
        <v/>
      </c>
      <c r="G99" s="12">
        <f>IF(원데이터!H99&lt;&gt;"",원데이터!H99/10,IF(원데이터!I99&lt;&gt;"",0.6108*EXP(17.27*원데이터!I99/(원데이터!I99+237.3)),원데이터!E99/100*F99))</f>
        <v/>
      </c>
      <c r="H99" s="21">
        <f>4098*(0.6108*EXP(17.27*C99/(C99+237.3)))/(C99+237.3)^2</f>
        <v/>
      </c>
      <c r="I99" s="17">
        <f>IF(원데이터!J99&lt;&gt;"",원데이터!J99/10,101.3*((293-0.0065*설정!$B$3)/293)^5.26)</f>
        <v/>
      </c>
      <c r="J99" s="21">
        <f>0.000665*I99</f>
        <v/>
      </c>
      <c r="K99" s="18">
        <f>원데이터!G99*4.87/LN(67.8*설정!$B$4-5.42)</f>
        <v/>
      </c>
      <c r="L99" s="12">
        <f>1+0.033*COS(2*PI()*B99/365)</f>
        <v/>
      </c>
      <c r="M99" s="21">
        <f>0.409*SIN(2*PI()*B99/365-1.39)</f>
        <v/>
      </c>
      <c r="N99" s="21">
        <f>ACOS(-TAN(RADIANS(설정!$B$2))*TAN(M99))</f>
        <v/>
      </c>
      <c r="O99" s="18">
        <f>(24*60/PI())*0.082*L99*(N99*SIN(RADIANS(설정!$B$2))*SIN(M99)+COS(RADIANS(설정!$B$2))*COS(M99)*SIN(N99))</f>
        <v/>
      </c>
      <c r="P99" s="18">
        <f>(0.75+0.00002*설정!$B$3)*O99</f>
        <v/>
      </c>
      <c r="Q99" s="18">
        <f>IF(원데이터!K99&lt;&gt;"",원데이터!K99,(0.25+0.5*원데이터!L99/(24/PI()*N99))*O99)</f>
        <v/>
      </c>
      <c r="R99" s="18">
        <f>0.77*Q99</f>
        <v/>
      </c>
      <c r="S99" s="18">
        <f>0.000000004903*(((원데이터!B99+273.16)^4+(원데이터!C99+273.16)^4)/2)*(0.34-0.14*SQRT(G99))*(1.35*MIN(Q99/P99,1)-0.35)</f>
        <v/>
      </c>
      <c r="T99" s="18">
        <f>R99-S99</f>
        <v/>
      </c>
      <c r="U99" s="18">
        <f>(0.408*H99*T99+J99*(900/(C99+273))*K99*(F99-G99))/(H99+J99*(1+0.34*K99))</f>
        <v/>
      </c>
      <c r="V99" s="11">
        <f>IF(원데이터!A99-설정!$B$16&lt;0,"발아전",IF(원데이터!A99-설정!$B$16&lt;설정!$B$17,"초기",IF(원데이터!A99-설정!$B$16&lt;설정!$B$17+설정!$B$18,"발육",IF(원데이터!A99-설정!$B$16&lt;설정!$B$17+설정!$B$18+설정!$B$19,"중기",IF(원데이터!A99-설정!$B$16&lt;설정!$B$17+설정!$B$18+설정!$B$19+설정!$B$20,"후기","후기이후")))))</f>
        <v/>
      </c>
      <c r="W99" s="12">
        <f>IF(원데이터!A99-설정!$B$16&lt;0,0,IF(원데이터!A99-설정!$B$16&lt;설정!$B$17,설정!$B$33,IF(원데이터!A99-설정!$B$16&lt;설정!$B$17+설정!$B$18,설정!$B$33+(설정!$B$34-설정!$B$33)*(원데이터!A99-설정!$B$16-설정!$B$17+1)/설정!$B$18,IF(원데이터!A99-설정!$B$16&lt;설정!$B$17+설정!$B$18+설정!$B$19,설정!$B$34,IF(원데이터!A99-설정!$B$16&lt;설정!$B$17+설정!$B$18+설정!$B$19+설정!$B$20,설정!$B$34+(설정!$B$35-설정!$B$34)*(원데이터!A99-설정!$B$16-설정!$B$17-설정!$B$18-설정!$B$19+1)/설정!$B$20,0)))))</f>
        <v/>
      </c>
      <c r="X99" s="12">
        <f>0.108-0.0286*K99+0.0422*LN(설정!$B$5)+0.1434*LN(원데이터!E99)-0.000631*LN(설정!$B$5)^2*LN(원데이터!E99)</f>
        <v/>
      </c>
      <c r="Y99" s="17">
        <f>원데이터!M99</f>
        <v/>
      </c>
      <c r="Z99" s="18">
        <f>X99*Y99</f>
        <v/>
      </c>
      <c r="AA99" s="18">
        <f>U99*W99</f>
        <v/>
      </c>
      <c r="AB99" s="18">
        <f>Z99*W99</f>
        <v/>
      </c>
    </row>
    <row r="100">
      <c r="A100" s="15">
        <f>원데이터!A100</f>
        <v/>
      </c>
      <c r="B100" s="14">
        <f>원데이터!A100-DATE(YEAR(원데이터!A100),1,1)+1</f>
        <v/>
      </c>
      <c r="C100" s="17">
        <f>(원데이터!B100+원데이터!C100)/2</f>
        <v/>
      </c>
      <c r="D100" s="12">
        <f>0.6108*EXP(17.27*원데이터!B100/(원데이터!B100+237.3))</f>
        <v/>
      </c>
      <c r="E100" s="12">
        <f>0.6108*EXP(17.27*원데이터!C100/(원데이터!C100+237.3))</f>
        <v/>
      </c>
      <c r="F100" s="12">
        <f>(D100+E100)/2</f>
        <v/>
      </c>
      <c r="G100" s="12">
        <f>IF(원데이터!H100&lt;&gt;"",원데이터!H100/10,IF(원데이터!I100&lt;&gt;"",0.6108*EXP(17.27*원데이터!I100/(원데이터!I100+237.3)),원데이터!E100/100*F100))</f>
        <v/>
      </c>
      <c r="H100" s="21">
        <f>4098*(0.6108*EXP(17.27*C100/(C100+237.3)))/(C100+237.3)^2</f>
        <v/>
      </c>
      <c r="I100" s="17">
        <f>IF(원데이터!J100&lt;&gt;"",원데이터!J100/10,101.3*((293-0.0065*설정!$B$3)/293)^5.26)</f>
        <v/>
      </c>
      <c r="J100" s="21">
        <f>0.000665*I100</f>
        <v/>
      </c>
      <c r="K100" s="18">
        <f>원데이터!G100*4.87/LN(67.8*설정!$B$4-5.42)</f>
        <v/>
      </c>
      <c r="L100" s="12">
        <f>1+0.033*COS(2*PI()*B100/365)</f>
        <v/>
      </c>
      <c r="M100" s="21">
        <f>0.409*SIN(2*PI()*B100/365-1.39)</f>
        <v/>
      </c>
      <c r="N100" s="21">
        <f>ACOS(-TAN(RADIANS(설정!$B$2))*TAN(M100))</f>
        <v/>
      </c>
      <c r="O100" s="18">
        <f>(24*60/PI())*0.082*L100*(N100*SIN(RADIANS(설정!$B$2))*SIN(M100)+COS(RADIANS(설정!$B$2))*COS(M100)*SIN(N100))</f>
        <v/>
      </c>
      <c r="P100" s="18">
        <f>(0.75+0.00002*설정!$B$3)*O100</f>
        <v/>
      </c>
      <c r="Q100" s="18">
        <f>IF(원데이터!K100&lt;&gt;"",원데이터!K100,(0.25+0.5*원데이터!L100/(24/PI()*N100))*O100)</f>
        <v/>
      </c>
      <c r="R100" s="18">
        <f>0.77*Q100</f>
        <v/>
      </c>
      <c r="S100" s="18">
        <f>0.000000004903*(((원데이터!B100+273.16)^4+(원데이터!C100+273.16)^4)/2)*(0.34-0.14*SQRT(G100))*(1.35*MIN(Q100/P100,1)-0.35)</f>
        <v/>
      </c>
      <c r="T100" s="18">
        <f>R100-S100</f>
        <v/>
      </c>
      <c r="U100" s="18">
        <f>(0.408*H100*T100+J100*(900/(C100+273))*K100*(F100-G100))/(H100+J100*(1+0.34*K100))</f>
        <v/>
      </c>
      <c r="V100" s="11">
        <f>IF(원데이터!A100-설정!$B$16&lt;0,"발아전",IF(원데이터!A100-설정!$B$16&lt;설정!$B$17,"초기",IF(원데이터!A100-설정!$B$16&lt;설정!$B$17+설정!$B$18,"발육",IF(원데이터!A100-설정!$B$16&lt;설정!$B$17+설정!$B$18+설정!$B$19,"중기",IF(원데이터!A100-설정!$B$16&lt;설정!$B$17+설정!$B$18+설정!$B$19+설정!$B$20,"후기","후기이후")))))</f>
        <v/>
      </c>
      <c r="W100" s="12">
        <f>IF(원데이터!A100-설정!$B$16&lt;0,0,IF(원데이터!A100-설정!$B$16&lt;설정!$B$17,설정!$B$33,IF(원데이터!A100-설정!$B$16&lt;설정!$B$17+설정!$B$18,설정!$B$33+(설정!$B$34-설정!$B$33)*(원데이터!A100-설정!$B$16-설정!$B$17+1)/설정!$B$18,IF(원데이터!A100-설정!$B$16&lt;설정!$B$17+설정!$B$18+설정!$B$19,설정!$B$34,IF(원데이터!A100-설정!$B$16&lt;설정!$B$17+설정!$B$18+설정!$B$19+설정!$B$20,설정!$B$34+(설정!$B$35-설정!$B$34)*(원데이터!A100-설정!$B$16-설정!$B$17-설정!$B$18-설정!$B$19+1)/설정!$B$20,0)))))</f>
        <v/>
      </c>
      <c r="X100" s="12">
        <f>0.108-0.0286*K100+0.0422*LN(설정!$B$5)+0.1434*LN(원데이터!E100)-0.000631*LN(설정!$B$5)^2*LN(원데이터!E100)</f>
        <v/>
      </c>
      <c r="Y100" s="17">
        <f>원데이터!M100</f>
        <v/>
      </c>
      <c r="Z100" s="18">
        <f>X100*Y100</f>
        <v/>
      </c>
      <c r="AA100" s="18">
        <f>U100*W100</f>
        <v/>
      </c>
      <c r="AB100" s="18">
        <f>Z100*W100</f>
        <v/>
      </c>
    </row>
    <row r="101">
      <c r="A101" s="15">
        <f>원데이터!A101</f>
        <v/>
      </c>
      <c r="B101" s="14">
        <f>원데이터!A101-DATE(YEAR(원데이터!A101),1,1)+1</f>
        <v/>
      </c>
      <c r="C101" s="17">
        <f>(원데이터!B101+원데이터!C101)/2</f>
        <v/>
      </c>
      <c r="D101" s="12">
        <f>0.6108*EXP(17.27*원데이터!B101/(원데이터!B101+237.3))</f>
        <v/>
      </c>
      <c r="E101" s="12">
        <f>0.6108*EXP(17.27*원데이터!C101/(원데이터!C101+237.3))</f>
        <v/>
      </c>
      <c r="F101" s="12">
        <f>(D101+E101)/2</f>
        <v/>
      </c>
      <c r="G101" s="12">
        <f>IF(원데이터!H101&lt;&gt;"",원데이터!H101/10,IF(원데이터!I101&lt;&gt;"",0.6108*EXP(17.27*원데이터!I101/(원데이터!I101+237.3)),원데이터!E101/100*F101))</f>
        <v/>
      </c>
      <c r="H101" s="21">
        <f>4098*(0.6108*EXP(17.27*C101/(C101+237.3)))/(C101+237.3)^2</f>
        <v/>
      </c>
      <c r="I101" s="17">
        <f>IF(원데이터!J101&lt;&gt;"",원데이터!J101/10,101.3*((293-0.0065*설정!$B$3)/293)^5.26)</f>
        <v/>
      </c>
      <c r="J101" s="21">
        <f>0.000665*I101</f>
        <v/>
      </c>
      <c r="K101" s="18">
        <f>원데이터!G101*4.87/LN(67.8*설정!$B$4-5.42)</f>
        <v/>
      </c>
      <c r="L101" s="12">
        <f>1+0.033*COS(2*PI()*B101/365)</f>
        <v/>
      </c>
      <c r="M101" s="21">
        <f>0.409*SIN(2*PI()*B101/365-1.39)</f>
        <v/>
      </c>
      <c r="N101" s="21">
        <f>ACOS(-TAN(RADIANS(설정!$B$2))*TAN(M101))</f>
        <v/>
      </c>
      <c r="O101" s="18">
        <f>(24*60/PI())*0.082*L101*(N101*SIN(RADIANS(설정!$B$2))*SIN(M101)+COS(RADIANS(설정!$B$2))*COS(M101)*SIN(N101))</f>
        <v/>
      </c>
      <c r="P101" s="18">
        <f>(0.75+0.00002*설정!$B$3)*O101</f>
        <v/>
      </c>
      <c r="Q101" s="18">
        <f>IF(원데이터!K101&lt;&gt;"",원데이터!K101,(0.25+0.5*원데이터!L101/(24/PI()*N101))*O101)</f>
        <v/>
      </c>
      <c r="R101" s="18">
        <f>0.77*Q101</f>
        <v/>
      </c>
      <c r="S101" s="18">
        <f>0.000000004903*(((원데이터!B101+273.16)^4+(원데이터!C101+273.16)^4)/2)*(0.34-0.14*SQRT(G101))*(1.35*MIN(Q101/P101,1)-0.35)</f>
        <v/>
      </c>
      <c r="T101" s="18">
        <f>R101-S101</f>
        <v/>
      </c>
      <c r="U101" s="18">
        <f>(0.408*H101*T101+J101*(900/(C101+273))*K101*(F101-G101))/(H101+J101*(1+0.34*K101))</f>
        <v/>
      </c>
      <c r="V101" s="11">
        <f>IF(원데이터!A101-설정!$B$16&lt;0,"발아전",IF(원데이터!A101-설정!$B$16&lt;설정!$B$17,"초기",IF(원데이터!A101-설정!$B$16&lt;설정!$B$17+설정!$B$18,"발육",IF(원데이터!A101-설정!$B$16&lt;설정!$B$17+설정!$B$18+설정!$B$19,"중기",IF(원데이터!A101-설정!$B$16&lt;설정!$B$17+설정!$B$18+설정!$B$19+설정!$B$20,"후기","후기이후")))))</f>
        <v/>
      </c>
      <c r="W101" s="12">
        <f>IF(원데이터!A101-설정!$B$16&lt;0,0,IF(원데이터!A101-설정!$B$16&lt;설정!$B$17,설정!$B$33,IF(원데이터!A101-설정!$B$16&lt;설정!$B$17+설정!$B$18,설정!$B$33+(설정!$B$34-설정!$B$33)*(원데이터!A101-설정!$B$16-설정!$B$17+1)/설정!$B$18,IF(원데이터!A101-설정!$B$16&lt;설정!$B$17+설정!$B$18+설정!$B$19,설정!$B$34,IF(원데이터!A101-설정!$B$16&lt;설정!$B$17+설정!$B$18+설정!$B$19+설정!$B$20,설정!$B$34+(설정!$B$35-설정!$B$34)*(원데이터!A101-설정!$B$16-설정!$B$17-설정!$B$18-설정!$B$19+1)/설정!$B$20,0)))))</f>
        <v/>
      </c>
      <c r="X101" s="12">
        <f>0.108-0.0286*K101+0.0422*LN(설정!$B$5)+0.1434*LN(원데이터!E101)-0.000631*LN(설정!$B$5)^2*LN(원데이터!E101)</f>
        <v/>
      </c>
      <c r="Y101" s="17">
        <f>원데이터!M101</f>
        <v/>
      </c>
      <c r="Z101" s="18">
        <f>X101*Y101</f>
        <v/>
      </c>
      <c r="AA101" s="18">
        <f>U101*W101</f>
        <v/>
      </c>
      <c r="AB101" s="18">
        <f>Z101*W101</f>
        <v/>
      </c>
    </row>
    <row r="102">
      <c r="A102" s="15">
        <f>원데이터!A102</f>
        <v/>
      </c>
      <c r="B102" s="14">
        <f>원데이터!A102-DATE(YEAR(원데이터!A102),1,1)+1</f>
        <v/>
      </c>
      <c r="C102" s="17">
        <f>(원데이터!B102+원데이터!C102)/2</f>
        <v/>
      </c>
      <c r="D102" s="12">
        <f>0.6108*EXP(17.27*원데이터!B102/(원데이터!B102+237.3))</f>
        <v/>
      </c>
      <c r="E102" s="12">
        <f>0.6108*EXP(17.27*원데이터!C102/(원데이터!C102+237.3))</f>
        <v/>
      </c>
      <c r="F102" s="12">
        <f>(D102+E102)/2</f>
        <v/>
      </c>
      <c r="G102" s="12">
        <f>IF(원데이터!H102&lt;&gt;"",원데이터!H102/10,IF(원데이터!I102&lt;&gt;"",0.6108*EXP(17.27*원데이터!I102/(원데이터!I102+237.3)),원데이터!E102/100*F102))</f>
        <v/>
      </c>
      <c r="H102" s="21">
        <f>4098*(0.6108*EXP(17.27*C102/(C102+237.3)))/(C102+237.3)^2</f>
        <v/>
      </c>
      <c r="I102" s="17">
        <f>IF(원데이터!J102&lt;&gt;"",원데이터!J102/10,101.3*((293-0.0065*설정!$B$3)/293)^5.26)</f>
        <v/>
      </c>
      <c r="J102" s="21">
        <f>0.000665*I102</f>
        <v/>
      </c>
      <c r="K102" s="18">
        <f>원데이터!G102*4.87/LN(67.8*설정!$B$4-5.42)</f>
        <v/>
      </c>
      <c r="L102" s="12">
        <f>1+0.033*COS(2*PI()*B102/365)</f>
        <v/>
      </c>
      <c r="M102" s="21">
        <f>0.409*SIN(2*PI()*B102/365-1.39)</f>
        <v/>
      </c>
      <c r="N102" s="21">
        <f>ACOS(-TAN(RADIANS(설정!$B$2))*TAN(M102))</f>
        <v/>
      </c>
      <c r="O102" s="18">
        <f>(24*60/PI())*0.082*L102*(N102*SIN(RADIANS(설정!$B$2))*SIN(M102)+COS(RADIANS(설정!$B$2))*COS(M102)*SIN(N102))</f>
        <v/>
      </c>
      <c r="P102" s="18">
        <f>(0.75+0.00002*설정!$B$3)*O102</f>
        <v/>
      </c>
      <c r="Q102" s="18">
        <f>IF(원데이터!K102&lt;&gt;"",원데이터!K102,(0.25+0.5*원데이터!L102/(24/PI()*N102))*O102)</f>
        <v/>
      </c>
      <c r="R102" s="18">
        <f>0.77*Q102</f>
        <v/>
      </c>
      <c r="S102" s="18">
        <f>0.000000004903*(((원데이터!B102+273.16)^4+(원데이터!C102+273.16)^4)/2)*(0.34-0.14*SQRT(G102))*(1.35*MIN(Q102/P102,1)-0.35)</f>
        <v/>
      </c>
      <c r="T102" s="18">
        <f>R102-S102</f>
        <v/>
      </c>
      <c r="U102" s="18">
        <f>(0.408*H102*T102+J102*(900/(C102+273))*K102*(F102-G102))/(H102+J102*(1+0.34*K102))</f>
        <v/>
      </c>
      <c r="V102" s="11">
        <f>IF(원데이터!A102-설정!$B$16&lt;0,"발아전",IF(원데이터!A102-설정!$B$16&lt;설정!$B$17,"초기",IF(원데이터!A102-설정!$B$16&lt;설정!$B$17+설정!$B$18,"발육",IF(원데이터!A102-설정!$B$16&lt;설정!$B$17+설정!$B$18+설정!$B$19,"중기",IF(원데이터!A102-설정!$B$16&lt;설정!$B$17+설정!$B$18+설정!$B$19+설정!$B$20,"후기","후기이후")))))</f>
        <v/>
      </c>
      <c r="W102" s="12">
        <f>IF(원데이터!A102-설정!$B$16&lt;0,0,IF(원데이터!A102-설정!$B$16&lt;설정!$B$17,설정!$B$33,IF(원데이터!A102-설정!$B$16&lt;설정!$B$17+설정!$B$18,설정!$B$33+(설정!$B$34-설정!$B$33)*(원데이터!A102-설정!$B$16-설정!$B$17+1)/설정!$B$18,IF(원데이터!A102-설정!$B$16&lt;설정!$B$17+설정!$B$18+설정!$B$19,설정!$B$34,IF(원데이터!A102-설정!$B$16&lt;설정!$B$17+설정!$B$18+설정!$B$19+설정!$B$20,설정!$B$34+(설정!$B$35-설정!$B$34)*(원데이터!A102-설정!$B$16-설정!$B$17-설정!$B$18-설정!$B$19+1)/설정!$B$20,0)))))</f>
        <v/>
      </c>
      <c r="X102" s="12">
        <f>0.108-0.0286*K102+0.0422*LN(설정!$B$5)+0.1434*LN(원데이터!E102)-0.000631*LN(설정!$B$5)^2*LN(원데이터!E102)</f>
        <v/>
      </c>
      <c r="Y102" s="17">
        <f>원데이터!M102</f>
        <v/>
      </c>
      <c r="Z102" s="18">
        <f>X102*Y102</f>
        <v/>
      </c>
      <c r="AA102" s="18">
        <f>U102*W102</f>
        <v/>
      </c>
      <c r="AB102" s="18">
        <f>Z102*W102</f>
        <v/>
      </c>
    </row>
    <row r="103">
      <c r="A103" s="15">
        <f>원데이터!A103</f>
        <v/>
      </c>
      <c r="B103" s="14">
        <f>원데이터!A103-DATE(YEAR(원데이터!A103),1,1)+1</f>
        <v/>
      </c>
      <c r="C103" s="17">
        <f>(원데이터!B103+원데이터!C103)/2</f>
        <v/>
      </c>
      <c r="D103" s="12">
        <f>0.6108*EXP(17.27*원데이터!B103/(원데이터!B103+237.3))</f>
        <v/>
      </c>
      <c r="E103" s="12">
        <f>0.6108*EXP(17.27*원데이터!C103/(원데이터!C103+237.3))</f>
        <v/>
      </c>
      <c r="F103" s="12">
        <f>(D103+E103)/2</f>
        <v/>
      </c>
      <c r="G103" s="12">
        <f>IF(원데이터!H103&lt;&gt;"",원데이터!H103/10,IF(원데이터!I103&lt;&gt;"",0.6108*EXP(17.27*원데이터!I103/(원데이터!I103+237.3)),원데이터!E103/100*F103))</f>
        <v/>
      </c>
      <c r="H103" s="21">
        <f>4098*(0.6108*EXP(17.27*C103/(C103+237.3)))/(C103+237.3)^2</f>
        <v/>
      </c>
      <c r="I103" s="17">
        <f>IF(원데이터!J103&lt;&gt;"",원데이터!J103/10,101.3*((293-0.0065*설정!$B$3)/293)^5.26)</f>
        <v/>
      </c>
      <c r="J103" s="21">
        <f>0.000665*I103</f>
        <v/>
      </c>
      <c r="K103" s="18">
        <f>원데이터!G103*4.87/LN(67.8*설정!$B$4-5.42)</f>
        <v/>
      </c>
      <c r="L103" s="12">
        <f>1+0.033*COS(2*PI()*B103/365)</f>
        <v/>
      </c>
      <c r="M103" s="21">
        <f>0.409*SIN(2*PI()*B103/365-1.39)</f>
        <v/>
      </c>
      <c r="N103" s="21">
        <f>ACOS(-TAN(RADIANS(설정!$B$2))*TAN(M103))</f>
        <v/>
      </c>
      <c r="O103" s="18">
        <f>(24*60/PI())*0.082*L103*(N103*SIN(RADIANS(설정!$B$2))*SIN(M103)+COS(RADIANS(설정!$B$2))*COS(M103)*SIN(N103))</f>
        <v/>
      </c>
      <c r="P103" s="18">
        <f>(0.75+0.00002*설정!$B$3)*O103</f>
        <v/>
      </c>
      <c r="Q103" s="18">
        <f>IF(원데이터!K103&lt;&gt;"",원데이터!K103,(0.25+0.5*원데이터!L103/(24/PI()*N103))*O103)</f>
        <v/>
      </c>
      <c r="R103" s="18">
        <f>0.77*Q103</f>
        <v/>
      </c>
      <c r="S103" s="18">
        <f>0.000000004903*(((원데이터!B103+273.16)^4+(원데이터!C103+273.16)^4)/2)*(0.34-0.14*SQRT(G103))*(1.35*MIN(Q103/P103,1)-0.35)</f>
        <v/>
      </c>
      <c r="T103" s="18">
        <f>R103-S103</f>
        <v/>
      </c>
      <c r="U103" s="18">
        <f>(0.408*H103*T103+J103*(900/(C103+273))*K103*(F103-G103))/(H103+J103*(1+0.34*K103))</f>
        <v/>
      </c>
      <c r="V103" s="11">
        <f>IF(원데이터!A103-설정!$B$16&lt;0,"발아전",IF(원데이터!A103-설정!$B$16&lt;설정!$B$17,"초기",IF(원데이터!A103-설정!$B$16&lt;설정!$B$17+설정!$B$18,"발육",IF(원데이터!A103-설정!$B$16&lt;설정!$B$17+설정!$B$18+설정!$B$19,"중기",IF(원데이터!A103-설정!$B$16&lt;설정!$B$17+설정!$B$18+설정!$B$19+설정!$B$20,"후기","후기이후")))))</f>
        <v/>
      </c>
      <c r="W103" s="12">
        <f>IF(원데이터!A103-설정!$B$16&lt;0,0,IF(원데이터!A103-설정!$B$16&lt;설정!$B$17,설정!$B$33,IF(원데이터!A103-설정!$B$16&lt;설정!$B$17+설정!$B$18,설정!$B$33+(설정!$B$34-설정!$B$33)*(원데이터!A103-설정!$B$16-설정!$B$17+1)/설정!$B$18,IF(원데이터!A103-설정!$B$16&lt;설정!$B$17+설정!$B$18+설정!$B$19,설정!$B$34,IF(원데이터!A103-설정!$B$16&lt;설정!$B$17+설정!$B$18+설정!$B$19+설정!$B$20,설정!$B$34+(설정!$B$35-설정!$B$34)*(원데이터!A103-설정!$B$16-설정!$B$17-설정!$B$18-설정!$B$19+1)/설정!$B$20,0)))))</f>
        <v/>
      </c>
      <c r="X103" s="12">
        <f>0.108-0.0286*K103+0.0422*LN(설정!$B$5)+0.1434*LN(원데이터!E103)-0.000631*LN(설정!$B$5)^2*LN(원데이터!E103)</f>
        <v/>
      </c>
      <c r="Y103" s="17">
        <f>원데이터!M103</f>
        <v/>
      </c>
      <c r="Z103" s="18">
        <f>X103*Y103</f>
        <v/>
      </c>
      <c r="AA103" s="18">
        <f>U103*W103</f>
        <v/>
      </c>
      <c r="AB103" s="18">
        <f>Z103*W103</f>
        <v/>
      </c>
    </row>
    <row r="104">
      <c r="A104" s="15">
        <f>원데이터!A104</f>
        <v/>
      </c>
      <c r="B104" s="14">
        <f>원데이터!A104-DATE(YEAR(원데이터!A104),1,1)+1</f>
        <v/>
      </c>
      <c r="C104" s="17">
        <f>(원데이터!B104+원데이터!C104)/2</f>
        <v/>
      </c>
      <c r="D104" s="12">
        <f>0.6108*EXP(17.27*원데이터!B104/(원데이터!B104+237.3))</f>
        <v/>
      </c>
      <c r="E104" s="12">
        <f>0.6108*EXP(17.27*원데이터!C104/(원데이터!C104+237.3))</f>
        <v/>
      </c>
      <c r="F104" s="12">
        <f>(D104+E104)/2</f>
        <v/>
      </c>
      <c r="G104" s="12">
        <f>IF(원데이터!H104&lt;&gt;"",원데이터!H104/10,IF(원데이터!I104&lt;&gt;"",0.6108*EXP(17.27*원데이터!I104/(원데이터!I104+237.3)),원데이터!E104/100*F104))</f>
        <v/>
      </c>
      <c r="H104" s="21">
        <f>4098*(0.6108*EXP(17.27*C104/(C104+237.3)))/(C104+237.3)^2</f>
        <v/>
      </c>
      <c r="I104" s="17">
        <f>IF(원데이터!J104&lt;&gt;"",원데이터!J104/10,101.3*((293-0.0065*설정!$B$3)/293)^5.26)</f>
        <v/>
      </c>
      <c r="J104" s="21">
        <f>0.000665*I104</f>
        <v/>
      </c>
      <c r="K104" s="18">
        <f>원데이터!G104*4.87/LN(67.8*설정!$B$4-5.42)</f>
        <v/>
      </c>
      <c r="L104" s="12">
        <f>1+0.033*COS(2*PI()*B104/365)</f>
        <v/>
      </c>
      <c r="M104" s="21">
        <f>0.409*SIN(2*PI()*B104/365-1.39)</f>
        <v/>
      </c>
      <c r="N104" s="21">
        <f>ACOS(-TAN(RADIANS(설정!$B$2))*TAN(M104))</f>
        <v/>
      </c>
      <c r="O104" s="18">
        <f>(24*60/PI())*0.082*L104*(N104*SIN(RADIANS(설정!$B$2))*SIN(M104)+COS(RADIANS(설정!$B$2))*COS(M104)*SIN(N104))</f>
        <v/>
      </c>
      <c r="P104" s="18">
        <f>(0.75+0.00002*설정!$B$3)*O104</f>
        <v/>
      </c>
      <c r="Q104" s="18">
        <f>IF(원데이터!K104&lt;&gt;"",원데이터!K104,(0.25+0.5*원데이터!L104/(24/PI()*N104))*O104)</f>
        <v/>
      </c>
      <c r="R104" s="18">
        <f>0.77*Q104</f>
        <v/>
      </c>
      <c r="S104" s="18">
        <f>0.000000004903*(((원데이터!B104+273.16)^4+(원데이터!C104+273.16)^4)/2)*(0.34-0.14*SQRT(G104))*(1.35*MIN(Q104/P104,1)-0.35)</f>
        <v/>
      </c>
      <c r="T104" s="18">
        <f>R104-S104</f>
        <v/>
      </c>
      <c r="U104" s="18">
        <f>(0.408*H104*T104+J104*(900/(C104+273))*K104*(F104-G104))/(H104+J104*(1+0.34*K104))</f>
        <v/>
      </c>
      <c r="V104" s="11">
        <f>IF(원데이터!A104-설정!$B$16&lt;0,"발아전",IF(원데이터!A104-설정!$B$16&lt;설정!$B$17,"초기",IF(원데이터!A104-설정!$B$16&lt;설정!$B$17+설정!$B$18,"발육",IF(원데이터!A104-설정!$B$16&lt;설정!$B$17+설정!$B$18+설정!$B$19,"중기",IF(원데이터!A104-설정!$B$16&lt;설정!$B$17+설정!$B$18+설정!$B$19+설정!$B$20,"후기","후기이후")))))</f>
        <v/>
      </c>
      <c r="W104" s="12">
        <f>IF(원데이터!A104-설정!$B$16&lt;0,0,IF(원데이터!A104-설정!$B$16&lt;설정!$B$17,설정!$B$33,IF(원데이터!A104-설정!$B$16&lt;설정!$B$17+설정!$B$18,설정!$B$33+(설정!$B$34-설정!$B$33)*(원데이터!A104-설정!$B$16-설정!$B$17+1)/설정!$B$18,IF(원데이터!A104-설정!$B$16&lt;설정!$B$17+설정!$B$18+설정!$B$19,설정!$B$34,IF(원데이터!A104-설정!$B$16&lt;설정!$B$17+설정!$B$18+설정!$B$19+설정!$B$20,설정!$B$34+(설정!$B$35-설정!$B$34)*(원데이터!A104-설정!$B$16-설정!$B$17-설정!$B$18-설정!$B$19+1)/설정!$B$20,0)))))</f>
        <v/>
      </c>
      <c r="X104" s="12">
        <f>0.108-0.0286*K104+0.0422*LN(설정!$B$5)+0.1434*LN(원데이터!E104)-0.000631*LN(설정!$B$5)^2*LN(원데이터!E104)</f>
        <v/>
      </c>
      <c r="Y104" s="17">
        <f>원데이터!M104</f>
        <v/>
      </c>
      <c r="Z104" s="18">
        <f>X104*Y104</f>
        <v/>
      </c>
      <c r="AA104" s="18">
        <f>U104*W104</f>
        <v/>
      </c>
      <c r="AB104" s="18">
        <f>Z104*W104</f>
        <v/>
      </c>
    </row>
    <row r="105">
      <c r="A105" s="15">
        <f>원데이터!A105</f>
        <v/>
      </c>
      <c r="B105" s="14">
        <f>원데이터!A105-DATE(YEAR(원데이터!A105),1,1)+1</f>
        <v/>
      </c>
      <c r="C105" s="17">
        <f>(원데이터!B105+원데이터!C105)/2</f>
        <v/>
      </c>
      <c r="D105" s="12">
        <f>0.6108*EXP(17.27*원데이터!B105/(원데이터!B105+237.3))</f>
        <v/>
      </c>
      <c r="E105" s="12">
        <f>0.6108*EXP(17.27*원데이터!C105/(원데이터!C105+237.3))</f>
        <v/>
      </c>
      <c r="F105" s="12">
        <f>(D105+E105)/2</f>
        <v/>
      </c>
      <c r="G105" s="12">
        <f>IF(원데이터!H105&lt;&gt;"",원데이터!H105/10,IF(원데이터!I105&lt;&gt;"",0.6108*EXP(17.27*원데이터!I105/(원데이터!I105+237.3)),원데이터!E105/100*F105))</f>
        <v/>
      </c>
      <c r="H105" s="21">
        <f>4098*(0.6108*EXP(17.27*C105/(C105+237.3)))/(C105+237.3)^2</f>
        <v/>
      </c>
      <c r="I105" s="17">
        <f>IF(원데이터!J105&lt;&gt;"",원데이터!J105/10,101.3*((293-0.0065*설정!$B$3)/293)^5.26)</f>
        <v/>
      </c>
      <c r="J105" s="21">
        <f>0.000665*I105</f>
        <v/>
      </c>
      <c r="K105" s="18">
        <f>원데이터!G105*4.87/LN(67.8*설정!$B$4-5.42)</f>
        <v/>
      </c>
      <c r="L105" s="12">
        <f>1+0.033*COS(2*PI()*B105/365)</f>
        <v/>
      </c>
      <c r="M105" s="21">
        <f>0.409*SIN(2*PI()*B105/365-1.39)</f>
        <v/>
      </c>
      <c r="N105" s="21">
        <f>ACOS(-TAN(RADIANS(설정!$B$2))*TAN(M105))</f>
        <v/>
      </c>
      <c r="O105" s="18">
        <f>(24*60/PI())*0.082*L105*(N105*SIN(RADIANS(설정!$B$2))*SIN(M105)+COS(RADIANS(설정!$B$2))*COS(M105)*SIN(N105))</f>
        <v/>
      </c>
      <c r="P105" s="18">
        <f>(0.75+0.00002*설정!$B$3)*O105</f>
        <v/>
      </c>
      <c r="Q105" s="18">
        <f>IF(원데이터!K105&lt;&gt;"",원데이터!K105,(0.25+0.5*원데이터!L105/(24/PI()*N105))*O105)</f>
        <v/>
      </c>
      <c r="R105" s="18">
        <f>0.77*Q105</f>
        <v/>
      </c>
      <c r="S105" s="18">
        <f>0.000000004903*(((원데이터!B105+273.16)^4+(원데이터!C105+273.16)^4)/2)*(0.34-0.14*SQRT(G105))*(1.35*MIN(Q105/P105,1)-0.35)</f>
        <v/>
      </c>
      <c r="T105" s="18">
        <f>R105-S105</f>
        <v/>
      </c>
      <c r="U105" s="18">
        <f>(0.408*H105*T105+J105*(900/(C105+273))*K105*(F105-G105))/(H105+J105*(1+0.34*K105))</f>
        <v/>
      </c>
      <c r="V105" s="11">
        <f>IF(원데이터!A105-설정!$B$16&lt;0,"발아전",IF(원데이터!A105-설정!$B$16&lt;설정!$B$17,"초기",IF(원데이터!A105-설정!$B$16&lt;설정!$B$17+설정!$B$18,"발육",IF(원데이터!A105-설정!$B$16&lt;설정!$B$17+설정!$B$18+설정!$B$19,"중기",IF(원데이터!A105-설정!$B$16&lt;설정!$B$17+설정!$B$18+설정!$B$19+설정!$B$20,"후기","후기이후")))))</f>
        <v/>
      </c>
      <c r="W105" s="12">
        <f>IF(원데이터!A105-설정!$B$16&lt;0,0,IF(원데이터!A105-설정!$B$16&lt;설정!$B$17,설정!$B$33,IF(원데이터!A105-설정!$B$16&lt;설정!$B$17+설정!$B$18,설정!$B$33+(설정!$B$34-설정!$B$33)*(원데이터!A105-설정!$B$16-설정!$B$17+1)/설정!$B$18,IF(원데이터!A105-설정!$B$16&lt;설정!$B$17+설정!$B$18+설정!$B$19,설정!$B$34,IF(원데이터!A105-설정!$B$16&lt;설정!$B$17+설정!$B$18+설정!$B$19+설정!$B$20,설정!$B$34+(설정!$B$35-설정!$B$34)*(원데이터!A105-설정!$B$16-설정!$B$17-설정!$B$18-설정!$B$19+1)/설정!$B$20,0)))))</f>
        <v/>
      </c>
      <c r="X105" s="12">
        <f>0.108-0.0286*K105+0.0422*LN(설정!$B$5)+0.1434*LN(원데이터!E105)-0.000631*LN(설정!$B$5)^2*LN(원데이터!E105)</f>
        <v/>
      </c>
      <c r="Y105" s="17">
        <f>원데이터!M105</f>
        <v/>
      </c>
      <c r="Z105" s="18">
        <f>X105*Y105</f>
        <v/>
      </c>
      <c r="AA105" s="18">
        <f>U105*W105</f>
        <v/>
      </c>
      <c r="AB105" s="18">
        <f>Z105*W105</f>
        <v/>
      </c>
    </row>
    <row r="106">
      <c r="A106" s="15">
        <f>원데이터!A106</f>
        <v/>
      </c>
      <c r="B106" s="14">
        <f>원데이터!A106-DATE(YEAR(원데이터!A106),1,1)+1</f>
        <v/>
      </c>
      <c r="C106" s="17">
        <f>(원데이터!B106+원데이터!C106)/2</f>
        <v/>
      </c>
      <c r="D106" s="12">
        <f>0.6108*EXP(17.27*원데이터!B106/(원데이터!B106+237.3))</f>
        <v/>
      </c>
      <c r="E106" s="12">
        <f>0.6108*EXP(17.27*원데이터!C106/(원데이터!C106+237.3))</f>
        <v/>
      </c>
      <c r="F106" s="12">
        <f>(D106+E106)/2</f>
        <v/>
      </c>
      <c r="G106" s="12">
        <f>IF(원데이터!H106&lt;&gt;"",원데이터!H106/10,IF(원데이터!I106&lt;&gt;"",0.6108*EXP(17.27*원데이터!I106/(원데이터!I106+237.3)),원데이터!E106/100*F106))</f>
        <v/>
      </c>
      <c r="H106" s="21">
        <f>4098*(0.6108*EXP(17.27*C106/(C106+237.3)))/(C106+237.3)^2</f>
        <v/>
      </c>
      <c r="I106" s="17">
        <f>IF(원데이터!J106&lt;&gt;"",원데이터!J106/10,101.3*((293-0.0065*설정!$B$3)/293)^5.26)</f>
        <v/>
      </c>
      <c r="J106" s="21">
        <f>0.000665*I106</f>
        <v/>
      </c>
      <c r="K106" s="18">
        <f>원데이터!G106*4.87/LN(67.8*설정!$B$4-5.42)</f>
        <v/>
      </c>
      <c r="L106" s="12">
        <f>1+0.033*COS(2*PI()*B106/365)</f>
        <v/>
      </c>
      <c r="M106" s="21">
        <f>0.409*SIN(2*PI()*B106/365-1.39)</f>
        <v/>
      </c>
      <c r="N106" s="21">
        <f>ACOS(-TAN(RADIANS(설정!$B$2))*TAN(M106))</f>
        <v/>
      </c>
      <c r="O106" s="18">
        <f>(24*60/PI())*0.082*L106*(N106*SIN(RADIANS(설정!$B$2))*SIN(M106)+COS(RADIANS(설정!$B$2))*COS(M106)*SIN(N106))</f>
        <v/>
      </c>
      <c r="P106" s="18">
        <f>(0.75+0.00002*설정!$B$3)*O106</f>
        <v/>
      </c>
      <c r="Q106" s="18">
        <f>IF(원데이터!K106&lt;&gt;"",원데이터!K106,(0.25+0.5*원데이터!L106/(24/PI()*N106))*O106)</f>
        <v/>
      </c>
      <c r="R106" s="18">
        <f>0.77*Q106</f>
        <v/>
      </c>
      <c r="S106" s="18">
        <f>0.000000004903*(((원데이터!B106+273.16)^4+(원데이터!C106+273.16)^4)/2)*(0.34-0.14*SQRT(G106))*(1.35*MIN(Q106/P106,1)-0.35)</f>
        <v/>
      </c>
      <c r="T106" s="18">
        <f>R106-S106</f>
        <v/>
      </c>
      <c r="U106" s="18">
        <f>(0.408*H106*T106+J106*(900/(C106+273))*K106*(F106-G106))/(H106+J106*(1+0.34*K106))</f>
        <v/>
      </c>
      <c r="V106" s="11">
        <f>IF(원데이터!A106-설정!$B$16&lt;0,"발아전",IF(원데이터!A106-설정!$B$16&lt;설정!$B$17,"초기",IF(원데이터!A106-설정!$B$16&lt;설정!$B$17+설정!$B$18,"발육",IF(원데이터!A106-설정!$B$16&lt;설정!$B$17+설정!$B$18+설정!$B$19,"중기",IF(원데이터!A106-설정!$B$16&lt;설정!$B$17+설정!$B$18+설정!$B$19+설정!$B$20,"후기","후기이후")))))</f>
        <v/>
      </c>
      <c r="W106" s="12">
        <f>IF(원데이터!A106-설정!$B$16&lt;0,0,IF(원데이터!A106-설정!$B$16&lt;설정!$B$17,설정!$B$33,IF(원데이터!A106-설정!$B$16&lt;설정!$B$17+설정!$B$18,설정!$B$33+(설정!$B$34-설정!$B$33)*(원데이터!A106-설정!$B$16-설정!$B$17+1)/설정!$B$18,IF(원데이터!A106-설정!$B$16&lt;설정!$B$17+설정!$B$18+설정!$B$19,설정!$B$34,IF(원데이터!A106-설정!$B$16&lt;설정!$B$17+설정!$B$18+설정!$B$19+설정!$B$20,설정!$B$34+(설정!$B$35-설정!$B$34)*(원데이터!A106-설정!$B$16-설정!$B$17-설정!$B$18-설정!$B$19+1)/설정!$B$20,0)))))</f>
        <v/>
      </c>
      <c r="X106" s="12">
        <f>0.108-0.0286*K106+0.0422*LN(설정!$B$5)+0.1434*LN(원데이터!E106)-0.000631*LN(설정!$B$5)^2*LN(원데이터!E106)</f>
        <v/>
      </c>
      <c r="Y106" s="17">
        <f>원데이터!M106</f>
        <v/>
      </c>
      <c r="Z106" s="18">
        <f>X106*Y106</f>
        <v/>
      </c>
      <c r="AA106" s="18">
        <f>U106*W106</f>
        <v/>
      </c>
      <c r="AB106" s="18">
        <f>Z106*W106</f>
        <v/>
      </c>
    </row>
    <row r="107">
      <c r="A107" s="15">
        <f>원데이터!A107</f>
        <v/>
      </c>
      <c r="B107" s="14">
        <f>원데이터!A107-DATE(YEAR(원데이터!A107),1,1)+1</f>
        <v/>
      </c>
      <c r="C107" s="17">
        <f>(원데이터!B107+원데이터!C107)/2</f>
        <v/>
      </c>
      <c r="D107" s="12">
        <f>0.6108*EXP(17.27*원데이터!B107/(원데이터!B107+237.3))</f>
        <v/>
      </c>
      <c r="E107" s="12">
        <f>0.6108*EXP(17.27*원데이터!C107/(원데이터!C107+237.3))</f>
        <v/>
      </c>
      <c r="F107" s="12">
        <f>(D107+E107)/2</f>
        <v/>
      </c>
      <c r="G107" s="12">
        <f>IF(원데이터!H107&lt;&gt;"",원데이터!H107/10,IF(원데이터!I107&lt;&gt;"",0.6108*EXP(17.27*원데이터!I107/(원데이터!I107+237.3)),원데이터!E107/100*F107))</f>
        <v/>
      </c>
      <c r="H107" s="21">
        <f>4098*(0.6108*EXP(17.27*C107/(C107+237.3)))/(C107+237.3)^2</f>
        <v/>
      </c>
      <c r="I107" s="17">
        <f>IF(원데이터!J107&lt;&gt;"",원데이터!J107/10,101.3*((293-0.0065*설정!$B$3)/293)^5.26)</f>
        <v/>
      </c>
      <c r="J107" s="21">
        <f>0.000665*I107</f>
        <v/>
      </c>
      <c r="K107" s="18">
        <f>원데이터!G107*4.87/LN(67.8*설정!$B$4-5.42)</f>
        <v/>
      </c>
      <c r="L107" s="12">
        <f>1+0.033*COS(2*PI()*B107/365)</f>
        <v/>
      </c>
      <c r="M107" s="21">
        <f>0.409*SIN(2*PI()*B107/365-1.39)</f>
        <v/>
      </c>
      <c r="N107" s="21">
        <f>ACOS(-TAN(RADIANS(설정!$B$2))*TAN(M107))</f>
        <v/>
      </c>
      <c r="O107" s="18">
        <f>(24*60/PI())*0.082*L107*(N107*SIN(RADIANS(설정!$B$2))*SIN(M107)+COS(RADIANS(설정!$B$2))*COS(M107)*SIN(N107))</f>
        <v/>
      </c>
      <c r="P107" s="18">
        <f>(0.75+0.00002*설정!$B$3)*O107</f>
        <v/>
      </c>
      <c r="Q107" s="18">
        <f>IF(원데이터!K107&lt;&gt;"",원데이터!K107,(0.25+0.5*원데이터!L107/(24/PI()*N107))*O107)</f>
        <v/>
      </c>
      <c r="R107" s="18">
        <f>0.77*Q107</f>
        <v/>
      </c>
      <c r="S107" s="18">
        <f>0.000000004903*(((원데이터!B107+273.16)^4+(원데이터!C107+273.16)^4)/2)*(0.34-0.14*SQRT(G107))*(1.35*MIN(Q107/P107,1)-0.35)</f>
        <v/>
      </c>
      <c r="T107" s="18">
        <f>R107-S107</f>
        <v/>
      </c>
      <c r="U107" s="18">
        <f>(0.408*H107*T107+J107*(900/(C107+273))*K107*(F107-G107))/(H107+J107*(1+0.34*K107))</f>
        <v/>
      </c>
      <c r="V107" s="11">
        <f>IF(원데이터!A107-설정!$B$16&lt;0,"발아전",IF(원데이터!A107-설정!$B$16&lt;설정!$B$17,"초기",IF(원데이터!A107-설정!$B$16&lt;설정!$B$17+설정!$B$18,"발육",IF(원데이터!A107-설정!$B$16&lt;설정!$B$17+설정!$B$18+설정!$B$19,"중기",IF(원데이터!A107-설정!$B$16&lt;설정!$B$17+설정!$B$18+설정!$B$19+설정!$B$20,"후기","후기이후")))))</f>
        <v/>
      </c>
      <c r="W107" s="12">
        <f>IF(원데이터!A107-설정!$B$16&lt;0,0,IF(원데이터!A107-설정!$B$16&lt;설정!$B$17,설정!$B$33,IF(원데이터!A107-설정!$B$16&lt;설정!$B$17+설정!$B$18,설정!$B$33+(설정!$B$34-설정!$B$33)*(원데이터!A107-설정!$B$16-설정!$B$17+1)/설정!$B$18,IF(원데이터!A107-설정!$B$16&lt;설정!$B$17+설정!$B$18+설정!$B$19,설정!$B$34,IF(원데이터!A107-설정!$B$16&lt;설정!$B$17+설정!$B$18+설정!$B$19+설정!$B$20,설정!$B$34+(설정!$B$35-설정!$B$34)*(원데이터!A107-설정!$B$16-설정!$B$17-설정!$B$18-설정!$B$19+1)/설정!$B$20,0)))))</f>
        <v/>
      </c>
      <c r="X107" s="12">
        <f>0.108-0.0286*K107+0.0422*LN(설정!$B$5)+0.1434*LN(원데이터!E107)-0.000631*LN(설정!$B$5)^2*LN(원데이터!E107)</f>
        <v/>
      </c>
      <c r="Y107" s="17">
        <f>원데이터!M107</f>
        <v/>
      </c>
      <c r="Z107" s="18">
        <f>X107*Y107</f>
        <v/>
      </c>
      <c r="AA107" s="18">
        <f>U107*W107</f>
        <v/>
      </c>
      <c r="AB107" s="18">
        <f>Z107*W107</f>
        <v/>
      </c>
    </row>
    <row r="108">
      <c r="A108" s="15">
        <f>원데이터!A108</f>
        <v/>
      </c>
      <c r="B108" s="14">
        <f>원데이터!A108-DATE(YEAR(원데이터!A108),1,1)+1</f>
        <v/>
      </c>
      <c r="C108" s="17">
        <f>(원데이터!B108+원데이터!C108)/2</f>
        <v/>
      </c>
      <c r="D108" s="12">
        <f>0.6108*EXP(17.27*원데이터!B108/(원데이터!B108+237.3))</f>
        <v/>
      </c>
      <c r="E108" s="12">
        <f>0.6108*EXP(17.27*원데이터!C108/(원데이터!C108+237.3))</f>
        <v/>
      </c>
      <c r="F108" s="12">
        <f>(D108+E108)/2</f>
        <v/>
      </c>
      <c r="G108" s="12">
        <f>IF(원데이터!H108&lt;&gt;"",원데이터!H108/10,IF(원데이터!I108&lt;&gt;"",0.6108*EXP(17.27*원데이터!I108/(원데이터!I108+237.3)),원데이터!E108/100*F108))</f>
        <v/>
      </c>
      <c r="H108" s="21">
        <f>4098*(0.6108*EXP(17.27*C108/(C108+237.3)))/(C108+237.3)^2</f>
        <v/>
      </c>
      <c r="I108" s="17">
        <f>IF(원데이터!J108&lt;&gt;"",원데이터!J108/10,101.3*((293-0.0065*설정!$B$3)/293)^5.26)</f>
        <v/>
      </c>
      <c r="J108" s="21">
        <f>0.000665*I108</f>
        <v/>
      </c>
      <c r="K108" s="18">
        <f>원데이터!G108*4.87/LN(67.8*설정!$B$4-5.42)</f>
        <v/>
      </c>
      <c r="L108" s="12">
        <f>1+0.033*COS(2*PI()*B108/365)</f>
        <v/>
      </c>
      <c r="M108" s="21">
        <f>0.409*SIN(2*PI()*B108/365-1.39)</f>
        <v/>
      </c>
      <c r="N108" s="21">
        <f>ACOS(-TAN(RADIANS(설정!$B$2))*TAN(M108))</f>
        <v/>
      </c>
      <c r="O108" s="18">
        <f>(24*60/PI())*0.082*L108*(N108*SIN(RADIANS(설정!$B$2))*SIN(M108)+COS(RADIANS(설정!$B$2))*COS(M108)*SIN(N108))</f>
        <v/>
      </c>
      <c r="P108" s="18">
        <f>(0.75+0.00002*설정!$B$3)*O108</f>
        <v/>
      </c>
      <c r="Q108" s="18">
        <f>IF(원데이터!K108&lt;&gt;"",원데이터!K108,(0.25+0.5*원데이터!L108/(24/PI()*N108))*O108)</f>
        <v/>
      </c>
      <c r="R108" s="18">
        <f>0.77*Q108</f>
        <v/>
      </c>
      <c r="S108" s="18">
        <f>0.000000004903*(((원데이터!B108+273.16)^4+(원데이터!C108+273.16)^4)/2)*(0.34-0.14*SQRT(G108))*(1.35*MIN(Q108/P108,1)-0.35)</f>
        <v/>
      </c>
      <c r="T108" s="18">
        <f>R108-S108</f>
        <v/>
      </c>
      <c r="U108" s="18">
        <f>(0.408*H108*T108+J108*(900/(C108+273))*K108*(F108-G108))/(H108+J108*(1+0.34*K108))</f>
        <v/>
      </c>
      <c r="V108" s="11">
        <f>IF(원데이터!A108-설정!$B$16&lt;0,"발아전",IF(원데이터!A108-설정!$B$16&lt;설정!$B$17,"초기",IF(원데이터!A108-설정!$B$16&lt;설정!$B$17+설정!$B$18,"발육",IF(원데이터!A108-설정!$B$16&lt;설정!$B$17+설정!$B$18+설정!$B$19,"중기",IF(원데이터!A108-설정!$B$16&lt;설정!$B$17+설정!$B$18+설정!$B$19+설정!$B$20,"후기","후기이후")))))</f>
        <v/>
      </c>
      <c r="W108" s="12">
        <f>IF(원데이터!A108-설정!$B$16&lt;0,0,IF(원데이터!A108-설정!$B$16&lt;설정!$B$17,설정!$B$33,IF(원데이터!A108-설정!$B$16&lt;설정!$B$17+설정!$B$18,설정!$B$33+(설정!$B$34-설정!$B$33)*(원데이터!A108-설정!$B$16-설정!$B$17+1)/설정!$B$18,IF(원데이터!A108-설정!$B$16&lt;설정!$B$17+설정!$B$18+설정!$B$19,설정!$B$34,IF(원데이터!A108-설정!$B$16&lt;설정!$B$17+설정!$B$18+설정!$B$19+설정!$B$20,설정!$B$34+(설정!$B$35-설정!$B$34)*(원데이터!A108-설정!$B$16-설정!$B$17-설정!$B$18-설정!$B$19+1)/설정!$B$20,0)))))</f>
        <v/>
      </c>
      <c r="X108" s="12">
        <f>0.108-0.0286*K108+0.0422*LN(설정!$B$5)+0.1434*LN(원데이터!E108)-0.000631*LN(설정!$B$5)^2*LN(원데이터!E108)</f>
        <v/>
      </c>
      <c r="Y108" s="17">
        <f>원데이터!M108</f>
        <v/>
      </c>
      <c r="Z108" s="18">
        <f>X108*Y108</f>
        <v/>
      </c>
      <c r="AA108" s="18">
        <f>U108*W108</f>
        <v/>
      </c>
      <c r="AB108" s="18">
        <f>Z108*W108</f>
        <v/>
      </c>
    </row>
    <row r="109">
      <c r="A109" s="15">
        <f>원데이터!A109</f>
        <v/>
      </c>
      <c r="B109" s="14">
        <f>원데이터!A109-DATE(YEAR(원데이터!A109),1,1)+1</f>
        <v/>
      </c>
      <c r="C109" s="17">
        <f>(원데이터!B109+원데이터!C109)/2</f>
        <v/>
      </c>
      <c r="D109" s="12">
        <f>0.6108*EXP(17.27*원데이터!B109/(원데이터!B109+237.3))</f>
        <v/>
      </c>
      <c r="E109" s="12">
        <f>0.6108*EXP(17.27*원데이터!C109/(원데이터!C109+237.3))</f>
        <v/>
      </c>
      <c r="F109" s="12">
        <f>(D109+E109)/2</f>
        <v/>
      </c>
      <c r="G109" s="12">
        <f>IF(원데이터!H109&lt;&gt;"",원데이터!H109/10,IF(원데이터!I109&lt;&gt;"",0.6108*EXP(17.27*원데이터!I109/(원데이터!I109+237.3)),원데이터!E109/100*F109))</f>
        <v/>
      </c>
      <c r="H109" s="21">
        <f>4098*(0.6108*EXP(17.27*C109/(C109+237.3)))/(C109+237.3)^2</f>
        <v/>
      </c>
      <c r="I109" s="17">
        <f>IF(원데이터!J109&lt;&gt;"",원데이터!J109/10,101.3*((293-0.0065*설정!$B$3)/293)^5.26)</f>
        <v/>
      </c>
      <c r="J109" s="21">
        <f>0.000665*I109</f>
        <v/>
      </c>
      <c r="K109" s="18">
        <f>원데이터!G109*4.87/LN(67.8*설정!$B$4-5.42)</f>
        <v/>
      </c>
      <c r="L109" s="12">
        <f>1+0.033*COS(2*PI()*B109/365)</f>
        <v/>
      </c>
      <c r="M109" s="21">
        <f>0.409*SIN(2*PI()*B109/365-1.39)</f>
        <v/>
      </c>
      <c r="N109" s="21">
        <f>ACOS(-TAN(RADIANS(설정!$B$2))*TAN(M109))</f>
        <v/>
      </c>
      <c r="O109" s="18">
        <f>(24*60/PI())*0.082*L109*(N109*SIN(RADIANS(설정!$B$2))*SIN(M109)+COS(RADIANS(설정!$B$2))*COS(M109)*SIN(N109))</f>
        <v/>
      </c>
      <c r="P109" s="18">
        <f>(0.75+0.00002*설정!$B$3)*O109</f>
        <v/>
      </c>
      <c r="Q109" s="18">
        <f>IF(원데이터!K109&lt;&gt;"",원데이터!K109,(0.25+0.5*원데이터!L109/(24/PI()*N109))*O109)</f>
        <v/>
      </c>
      <c r="R109" s="18">
        <f>0.77*Q109</f>
        <v/>
      </c>
      <c r="S109" s="18">
        <f>0.000000004903*(((원데이터!B109+273.16)^4+(원데이터!C109+273.16)^4)/2)*(0.34-0.14*SQRT(G109))*(1.35*MIN(Q109/P109,1)-0.35)</f>
        <v/>
      </c>
      <c r="T109" s="18">
        <f>R109-S109</f>
        <v/>
      </c>
      <c r="U109" s="18">
        <f>(0.408*H109*T109+J109*(900/(C109+273))*K109*(F109-G109))/(H109+J109*(1+0.34*K109))</f>
        <v/>
      </c>
      <c r="V109" s="11">
        <f>IF(원데이터!A109-설정!$B$16&lt;0,"발아전",IF(원데이터!A109-설정!$B$16&lt;설정!$B$17,"초기",IF(원데이터!A109-설정!$B$16&lt;설정!$B$17+설정!$B$18,"발육",IF(원데이터!A109-설정!$B$16&lt;설정!$B$17+설정!$B$18+설정!$B$19,"중기",IF(원데이터!A109-설정!$B$16&lt;설정!$B$17+설정!$B$18+설정!$B$19+설정!$B$20,"후기","후기이후")))))</f>
        <v/>
      </c>
      <c r="W109" s="12">
        <f>IF(원데이터!A109-설정!$B$16&lt;0,0,IF(원데이터!A109-설정!$B$16&lt;설정!$B$17,설정!$B$33,IF(원데이터!A109-설정!$B$16&lt;설정!$B$17+설정!$B$18,설정!$B$33+(설정!$B$34-설정!$B$33)*(원데이터!A109-설정!$B$16-설정!$B$17+1)/설정!$B$18,IF(원데이터!A109-설정!$B$16&lt;설정!$B$17+설정!$B$18+설정!$B$19,설정!$B$34,IF(원데이터!A109-설정!$B$16&lt;설정!$B$17+설정!$B$18+설정!$B$19+설정!$B$20,설정!$B$34+(설정!$B$35-설정!$B$34)*(원데이터!A109-설정!$B$16-설정!$B$17-설정!$B$18-설정!$B$19+1)/설정!$B$20,0)))))</f>
        <v/>
      </c>
      <c r="X109" s="12">
        <f>0.108-0.0286*K109+0.0422*LN(설정!$B$5)+0.1434*LN(원데이터!E109)-0.000631*LN(설정!$B$5)^2*LN(원데이터!E109)</f>
        <v/>
      </c>
      <c r="Y109" s="17">
        <f>원데이터!M109</f>
        <v/>
      </c>
      <c r="Z109" s="18">
        <f>X109*Y109</f>
        <v/>
      </c>
      <c r="AA109" s="18">
        <f>U109*W109</f>
        <v/>
      </c>
      <c r="AB109" s="18">
        <f>Z109*W109</f>
        <v/>
      </c>
    </row>
    <row r="110">
      <c r="A110" s="15">
        <f>원데이터!A110</f>
        <v/>
      </c>
      <c r="B110" s="14">
        <f>원데이터!A110-DATE(YEAR(원데이터!A110),1,1)+1</f>
        <v/>
      </c>
      <c r="C110" s="17">
        <f>(원데이터!B110+원데이터!C110)/2</f>
        <v/>
      </c>
      <c r="D110" s="12">
        <f>0.6108*EXP(17.27*원데이터!B110/(원데이터!B110+237.3))</f>
        <v/>
      </c>
      <c r="E110" s="12">
        <f>0.6108*EXP(17.27*원데이터!C110/(원데이터!C110+237.3))</f>
        <v/>
      </c>
      <c r="F110" s="12">
        <f>(D110+E110)/2</f>
        <v/>
      </c>
      <c r="G110" s="12">
        <f>IF(원데이터!H110&lt;&gt;"",원데이터!H110/10,IF(원데이터!I110&lt;&gt;"",0.6108*EXP(17.27*원데이터!I110/(원데이터!I110+237.3)),원데이터!E110/100*F110))</f>
        <v/>
      </c>
      <c r="H110" s="21">
        <f>4098*(0.6108*EXP(17.27*C110/(C110+237.3)))/(C110+237.3)^2</f>
        <v/>
      </c>
      <c r="I110" s="17">
        <f>IF(원데이터!J110&lt;&gt;"",원데이터!J110/10,101.3*((293-0.0065*설정!$B$3)/293)^5.26)</f>
        <v/>
      </c>
      <c r="J110" s="21">
        <f>0.000665*I110</f>
        <v/>
      </c>
      <c r="K110" s="18">
        <f>원데이터!G110*4.87/LN(67.8*설정!$B$4-5.42)</f>
        <v/>
      </c>
      <c r="L110" s="12">
        <f>1+0.033*COS(2*PI()*B110/365)</f>
        <v/>
      </c>
      <c r="M110" s="21">
        <f>0.409*SIN(2*PI()*B110/365-1.39)</f>
        <v/>
      </c>
      <c r="N110" s="21">
        <f>ACOS(-TAN(RADIANS(설정!$B$2))*TAN(M110))</f>
        <v/>
      </c>
      <c r="O110" s="18">
        <f>(24*60/PI())*0.082*L110*(N110*SIN(RADIANS(설정!$B$2))*SIN(M110)+COS(RADIANS(설정!$B$2))*COS(M110)*SIN(N110))</f>
        <v/>
      </c>
      <c r="P110" s="18">
        <f>(0.75+0.00002*설정!$B$3)*O110</f>
        <v/>
      </c>
      <c r="Q110" s="18">
        <f>IF(원데이터!K110&lt;&gt;"",원데이터!K110,(0.25+0.5*원데이터!L110/(24/PI()*N110))*O110)</f>
        <v/>
      </c>
      <c r="R110" s="18">
        <f>0.77*Q110</f>
        <v/>
      </c>
      <c r="S110" s="18">
        <f>0.000000004903*(((원데이터!B110+273.16)^4+(원데이터!C110+273.16)^4)/2)*(0.34-0.14*SQRT(G110))*(1.35*MIN(Q110/P110,1)-0.35)</f>
        <v/>
      </c>
      <c r="T110" s="18">
        <f>R110-S110</f>
        <v/>
      </c>
      <c r="U110" s="18">
        <f>(0.408*H110*T110+J110*(900/(C110+273))*K110*(F110-G110))/(H110+J110*(1+0.34*K110))</f>
        <v/>
      </c>
      <c r="V110" s="11">
        <f>IF(원데이터!A110-설정!$B$16&lt;0,"발아전",IF(원데이터!A110-설정!$B$16&lt;설정!$B$17,"초기",IF(원데이터!A110-설정!$B$16&lt;설정!$B$17+설정!$B$18,"발육",IF(원데이터!A110-설정!$B$16&lt;설정!$B$17+설정!$B$18+설정!$B$19,"중기",IF(원데이터!A110-설정!$B$16&lt;설정!$B$17+설정!$B$18+설정!$B$19+설정!$B$20,"후기","후기이후")))))</f>
        <v/>
      </c>
      <c r="W110" s="12">
        <f>IF(원데이터!A110-설정!$B$16&lt;0,0,IF(원데이터!A110-설정!$B$16&lt;설정!$B$17,설정!$B$33,IF(원데이터!A110-설정!$B$16&lt;설정!$B$17+설정!$B$18,설정!$B$33+(설정!$B$34-설정!$B$33)*(원데이터!A110-설정!$B$16-설정!$B$17+1)/설정!$B$18,IF(원데이터!A110-설정!$B$16&lt;설정!$B$17+설정!$B$18+설정!$B$19,설정!$B$34,IF(원데이터!A110-설정!$B$16&lt;설정!$B$17+설정!$B$18+설정!$B$19+설정!$B$20,설정!$B$34+(설정!$B$35-설정!$B$34)*(원데이터!A110-설정!$B$16-설정!$B$17-설정!$B$18-설정!$B$19+1)/설정!$B$20,0)))))</f>
        <v/>
      </c>
      <c r="X110" s="12">
        <f>0.108-0.0286*K110+0.0422*LN(설정!$B$5)+0.1434*LN(원데이터!E110)-0.000631*LN(설정!$B$5)^2*LN(원데이터!E110)</f>
        <v/>
      </c>
      <c r="Y110" s="17">
        <f>원데이터!M110</f>
        <v/>
      </c>
      <c r="Z110" s="18">
        <f>X110*Y110</f>
        <v/>
      </c>
      <c r="AA110" s="18">
        <f>U110*W110</f>
        <v/>
      </c>
      <c r="AB110" s="18">
        <f>Z110*W110</f>
        <v/>
      </c>
    </row>
    <row r="111">
      <c r="A111" s="15">
        <f>원데이터!A111</f>
        <v/>
      </c>
      <c r="B111" s="14">
        <f>원데이터!A111-DATE(YEAR(원데이터!A111),1,1)+1</f>
        <v/>
      </c>
      <c r="C111" s="17">
        <f>(원데이터!B111+원데이터!C111)/2</f>
        <v/>
      </c>
      <c r="D111" s="12">
        <f>0.6108*EXP(17.27*원데이터!B111/(원데이터!B111+237.3))</f>
        <v/>
      </c>
      <c r="E111" s="12">
        <f>0.6108*EXP(17.27*원데이터!C111/(원데이터!C111+237.3))</f>
        <v/>
      </c>
      <c r="F111" s="12">
        <f>(D111+E111)/2</f>
        <v/>
      </c>
      <c r="G111" s="12">
        <f>IF(원데이터!H111&lt;&gt;"",원데이터!H111/10,IF(원데이터!I111&lt;&gt;"",0.6108*EXP(17.27*원데이터!I111/(원데이터!I111+237.3)),원데이터!E111/100*F111))</f>
        <v/>
      </c>
      <c r="H111" s="21">
        <f>4098*(0.6108*EXP(17.27*C111/(C111+237.3)))/(C111+237.3)^2</f>
        <v/>
      </c>
      <c r="I111" s="17">
        <f>IF(원데이터!J111&lt;&gt;"",원데이터!J111/10,101.3*((293-0.0065*설정!$B$3)/293)^5.26)</f>
        <v/>
      </c>
      <c r="J111" s="21">
        <f>0.000665*I111</f>
        <v/>
      </c>
      <c r="K111" s="18">
        <f>원데이터!G111*4.87/LN(67.8*설정!$B$4-5.42)</f>
        <v/>
      </c>
      <c r="L111" s="12">
        <f>1+0.033*COS(2*PI()*B111/365)</f>
        <v/>
      </c>
      <c r="M111" s="21">
        <f>0.409*SIN(2*PI()*B111/365-1.39)</f>
        <v/>
      </c>
      <c r="N111" s="21">
        <f>ACOS(-TAN(RADIANS(설정!$B$2))*TAN(M111))</f>
        <v/>
      </c>
      <c r="O111" s="18">
        <f>(24*60/PI())*0.082*L111*(N111*SIN(RADIANS(설정!$B$2))*SIN(M111)+COS(RADIANS(설정!$B$2))*COS(M111)*SIN(N111))</f>
        <v/>
      </c>
      <c r="P111" s="18">
        <f>(0.75+0.00002*설정!$B$3)*O111</f>
        <v/>
      </c>
      <c r="Q111" s="18">
        <f>IF(원데이터!K111&lt;&gt;"",원데이터!K111,(0.25+0.5*원데이터!L111/(24/PI()*N111))*O111)</f>
        <v/>
      </c>
      <c r="R111" s="18">
        <f>0.77*Q111</f>
        <v/>
      </c>
      <c r="S111" s="18">
        <f>0.000000004903*(((원데이터!B111+273.16)^4+(원데이터!C111+273.16)^4)/2)*(0.34-0.14*SQRT(G111))*(1.35*MIN(Q111/P111,1)-0.35)</f>
        <v/>
      </c>
      <c r="T111" s="18">
        <f>R111-S111</f>
        <v/>
      </c>
      <c r="U111" s="18">
        <f>(0.408*H111*T111+J111*(900/(C111+273))*K111*(F111-G111))/(H111+J111*(1+0.34*K111))</f>
        <v/>
      </c>
      <c r="V111" s="11">
        <f>IF(원데이터!A111-설정!$B$16&lt;0,"발아전",IF(원데이터!A111-설정!$B$16&lt;설정!$B$17,"초기",IF(원데이터!A111-설정!$B$16&lt;설정!$B$17+설정!$B$18,"발육",IF(원데이터!A111-설정!$B$16&lt;설정!$B$17+설정!$B$18+설정!$B$19,"중기",IF(원데이터!A111-설정!$B$16&lt;설정!$B$17+설정!$B$18+설정!$B$19+설정!$B$20,"후기","후기이후")))))</f>
        <v/>
      </c>
      <c r="W111" s="12">
        <f>IF(원데이터!A111-설정!$B$16&lt;0,0,IF(원데이터!A111-설정!$B$16&lt;설정!$B$17,설정!$B$33,IF(원데이터!A111-설정!$B$16&lt;설정!$B$17+설정!$B$18,설정!$B$33+(설정!$B$34-설정!$B$33)*(원데이터!A111-설정!$B$16-설정!$B$17+1)/설정!$B$18,IF(원데이터!A111-설정!$B$16&lt;설정!$B$17+설정!$B$18+설정!$B$19,설정!$B$34,IF(원데이터!A111-설정!$B$16&lt;설정!$B$17+설정!$B$18+설정!$B$19+설정!$B$20,설정!$B$34+(설정!$B$35-설정!$B$34)*(원데이터!A111-설정!$B$16-설정!$B$17-설정!$B$18-설정!$B$19+1)/설정!$B$20,0)))))</f>
        <v/>
      </c>
      <c r="X111" s="12">
        <f>0.108-0.0286*K111+0.0422*LN(설정!$B$5)+0.1434*LN(원데이터!E111)-0.000631*LN(설정!$B$5)^2*LN(원데이터!E111)</f>
        <v/>
      </c>
      <c r="Y111" s="17">
        <f>원데이터!M111</f>
        <v/>
      </c>
      <c r="Z111" s="18">
        <f>X111*Y111</f>
        <v/>
      </c>
      <c r="AA111" s="18">
        <f>U111*W111</f>
        <v/>
      </c>
      <c r="AB111" s="18">
        <f>Z111*W111</f>
        <v/>
      </c>
    </row>
    <row r="112">
      <c r="A112" s="15">
        <f>원데이터!A112</f>
        <v/>
      </c>
      <c r="B112" s="14">
        <f>원데이터!A112-DATE(YEAR(원데이터!A112),1,1)+1</f>
        <v/>
      </c>
      <c r="C112" s="17">
        <f>(원데이터!B112+원데이터!C112)/2</f>
        <v/>
      </c>
      <c r="D112" s="12">
        <f>0.6108*EXP(17.27*원데이터!B112/(원데이터!B112+237.3))</f>
        <v/>
      </c>
      <c r="E112" s="12">
        <f>0.6108*EXP(17.27*원데이터!C112/(원데이터!C112+237.3))</f>
        <v/>
      </c>
      <c r="F112" s="12">
        <f>(D112+E112)/2</f>
        <v/>
      </c>
      <c r="G112" s="12">
        <f>IF(원데이터!H112&lt;&gt;"",원데이터!H112/10,IF(원데이터!I112&lt;&gt;"",0.6108*EXP(17.27*원데이터!I112/(원데이터!I112+237.3)),원데이터!E112/100*F112))</f>
        <v/>
      </c>
      <c r="H112" s="21">
        <f>4098*(0.6108*EXP(17.27*C112/(C112+237.3)))/(C112+237.3)^2</f>
        <v/>
      </c>
      <c r="I112" s="17">
        <f>IF(원데이터!J112&lt;&gt;"",원데이터!J112/10,101.3*((293-0.0065*설정!$B$3)/293)^5.26)</f>
        <v/>
      </c>
      <c r="J112" s="21">
        <f>0.000665*I112</f>
        <v/>
      </c>
      <c r="K112" s="18">
        <f>원데이터!G112*4.87/LN(67.8*설정!$B$4-5.42)</f>
        <v/>
      </c>
      <c r="L112" s="12">
        <f>1+0.033*COS(2*PI()*B112/365)</f>
        <v/>
      </c>
      <c r="M112" s="21">
        <f>0.409*SIN(2*PI()*B112/365-1.39)</f>
        <v/>
      </c>
      <c r="N112" s="21">
        <f>ACOS(-TAN(RADIANS(설정!$B$2))*TAN(M112))</f>
        <v/>
      </c>
      <c r="O112" s="18">
        <f>(24*60/PI())*0.082*L112*(N112*SIN(RADIANS(설정!$B$2))*SIN(M112)+COS(RADIANS(설정!$B$2))*COS(M112)*SIN(N112))</f>
        <v/>
      </c>
      <c r="P112" s="18">
        <f>(0.75+0.00002*설정!$B$3)*O112</f>
        <v/>
      </c>
      <c r="Q112" s="18">
        <f>IF(원데이터!K112&lt;&gt;"",원데이터!K112,(0.25+0.5*원데이터!L112/(24/PI()*N112))*O112)</f>
        <v/>
      </c>
      <c r="R112" s="18">
        <f>0.77*Q112</f>
        <v/>
      </c>
      <c r="S112" s="18">
        <f>0.000000004903*(((원데이터!B112+273.16)^4+(원데이터!C112+273.16)^4)/2)*(0.34-0.14*SQRT(G112))*(1.35*MIN(Q112/P112,1)-0.35)</f>
        <v/>
      </c>
      <c r="T112" s="18">
        <f>R112-S112</f>
        <v/>
      </c>
      <c r="U112" s="18">
        <f>(0.408*H112*T112+J112*(900/(C112+273))*K112*(F112-G112))/(H112+J112*(1+0.34*K112))</f>
        <v/>
      </c>
      <c r="V112" s="11">
        <f>IF(원데이터!A112-설정!$B$16&lt;0,"발아전",IF(원데이터!A112-설정!$B$16&lt;설정!$B$17,"초기",IF(원데이터!A112-설정!$B$16&lt;설정!$B$17+설정!$B$18,"발육",IF(원데이터!A112-설정!$B$16&lt;설정!$B$17+설정!$B$18+설정!$B$19,"중기",IF(원데이터!A112-설정!$B$16&lt;설정!$B$17+설정!$B$18+설정!$B$19+설정!$B$20,"후기","후기이후")))))</f>
        <v/>
      </c>
      <c r="W112" s="12">
        <f>IF(원데이터!A112-설정!$B$16&lt;0,0,IF(원데이터!A112-설정!$B$16&lt;설정!$B$17,설정!$B$33,IF(원데이터!A112-설정!$B$16&lt;설정!$B$17+설정!$B$18,설정!$B$33+(설정!$B$34-설정!$B$33)*(원데이터!A112-설정!$B$16-설정!$B$17+1)/설정!$B$18,IF(원데이터!A112-설정!$B$16&lt;설정!$B$17+설정!$B$18+설정!$B$19,설정!$B$34,IF(원데이터!A112-설정!$B$16&lt;설정!$B$17+설정!$B$18+설정!$B$19+설정!$B$20,설정!$B$34+(설정!$B$35-설정!$B$34)*(원데이터!A112-설정!$B$16-설정!$B$17-설정!$B$18-설정!$B$19+1)/설정!$B$20,0)))))</f>
        <v/>
      </c>
      <c r="X112" s="12">
        <f>0.108-0.0286*K112+0.0422*LN(설정!$B$5)+0.1434*LN(원데이터!E112)-0.000631*LN(설정!$B$5)^2*LN(원데이터!E112)</f>
        <v/>
      </c>
      <c r="Y112" s="17">
        <f>원데이터!M112</f>
        <v/>
      </c>
      <c r="Z112" s="18">
        <f>X112*Y112</f>
        <v/>
      </c>
      <c r="AA112" s="18">
        <f>U112*W112</f>
        <v/>
      </c>
      <c r="AB112" s="18">
        <f>Z112*W112</f>
        <v/>
      </c>
    </row>
    <row r="113">
      <c r="A113" s="15">
        <f>원데이터!A113</f>
        <v/>
      </c>
      <c r="B113" s="14">
        <f>원데이터!A113-DATE(YEAR(원데이터!A113),1,1)+1</f>
        <v/>
      </c>
      <c r="C113" s="17">
        <f>(원데이터!B113+원데이터!C113)/2</f>
        <v/>
      </c>
      <c r="D113" s="12">
        <f>0.6108*EXP(17.27*원데이터!B113/(원데이터!B113+237.3))</f>
        <v/>
      </c>
      <c r="E113" s="12">
        <f>0.6108*EXP(17.27*원데이터!C113/(원데이터!C113+237.3))</f>
        <v/>
      </c>
      <c r="F113" s="12">
        <f>(D113+E113)/2</f>
        <v/>
      </c>
      <c r="G113" s="12">
        <f>IF(원데이터!H113&lt;&gt;"",원데이터!H113/10,IF(원데이터!I113&lt;&gt;"",0.6108*EXP(17.27*원데이터!I113/(원데이터!I113+237.3)),원데이터!E113/100*F113))</f>
        <v/>
      </c>
      <c r="H113" s="21">
        <f>4098*(0.6108*EXP(17.27*C113/(C113+237.3)))/(C113+237.3)^2</f>
        <v/>
      </c>
      <c r="I113" s="17">
        <f>IF(원데이터!J113&lt;&gt;"",원데이터!J113/10,101.3*((293-0.0065*설정!$B$3)/293)^5.26)</f>
        <v/>
      </c>
      <c r="J113" s="21">
        <f>0.000665*I113</f>
        <v/>
      </c>
      <c r="K113" s="18">
        <f>원데이터!G113*4.87/LN(67.8*설정!$B$4-5.42)</f>
        <v/>
      </c>
      <c r="L113" s="12">
        <f>1+0.033*COS(2*PI()*B113/365)</f>
        <v/>
      </c>
      <c r="M113" s="21">
        <f>0.409*SIN(2*PI()*B113/365-1.39)</f>
        <v/>
      </c>
      <c r="N113" s="21">
        <f>ACOS(-TAN(RADIANS(설정!$B$2))*TAN(M113))</f>
        <v/>
      </c>
      <c r="O113" s="18">
        <f>(24*60/PI())*0.082*L113*(N113*SIN(RADIANS(설정!$B$2))*SIN(M113)+COS(RADIANS(설정!$B$2))*COS(M113)*SIN(N113))</f>
        <v/>
      </c>
      <c r="P113" s="18">
        <f>(0.75+0.00002*설정!$B$3)*O113</f>
        <v/>
      </c>
      <c r="Q113" s="18">
        <f>IF(원데이터!K113&lt;&gt;"",원데이터!K113,(0.25+0.5*원데이터!L113/(24/PI()*N113))*O113)</f>
        <v/>
      </c>
      <c r="R113" s="18">
        <f>0.77*Q113</f>
        <v/>
      </c>
      <c r="S113" s="18">
        <f>0.000000004903*(((원데이터!B113+273.16)^4+(원데이터!C113+273.16)^4)/2)*(0.34-0.14*SQRT(G113))*(1.35*MIN(Q113/P113,1)-0.35)</f>
        <v/>
      </c>
      <c r="T113" s="18">
        <f>R113-S113</f>
        <v/>
      </c>
      <c r="U113" s="18">
        <f>(0.408*H113*T113+J113*(900/(C113+273))*K113*(F113-G113))/(H113+J113*(1+0.34*K113))</f>
        <v/>
      </c>
      <c r="V113" s="11">
        <f>IF(원데이터!A113-설정!$B$16&lt;0,"발아전",IF(원데이터!A113-설정!$B$16&lt;설정!$B$17,"초기",IF(원데이터!A113-설정!$B$16&lt;설정!$B$17+설정!$B$18,"발육",IF(원데이터!A113-설정!$B$16&lt;설정!$B$17+설정!$B$18+설정!$B$19,"중기",IF(원데이터!A113-설정!$B$16&lt;설정!$B$17+설정!$B$18+설정!$B$19+설정!$B$20,"후기","후기이후")))))</f>
        <v/>
      </c>
      <c r="W113" s="12">
        <f>IF(원데이터!A113-설정!$B$16&lt;0,0,IF(원데이터!A113-설정!$B$16&lt;설정!$B$17,설정!$B$33,IF(원데이터!A113-설정!$B$16&lt;설정!$B$17+설정!$B$18,설정!$B$33+(설정!$B$34-설정!$B$33)*(원데이터!A113-설정!$B$16-설정!$B$17+1)/설정!$B$18,IF(원데이터!A113-설정!$B$16&lt;설정!$B$17+설정!$B$18+설정!$B$19,설정!$B$34,IF(원데이터!A113-설정!$B$16&lt;설정!$B$17+설정!$B$18+설정!$B$19+설정!$B$20,설정!$B$34+(설정!$B$35-설정!$B$34)*(원데이터!A113-설정!$B$16-설정!$B$17-설정!$B$18-설정!$B$19+1)/설정!$B$20,0)))))</f>
        <v/>
      </c>
      <c r="X113" s="12">
        <f>0.108-0.0286*K113+0.0422*LN(설정!$B$5)+0.1434*LN(원데이터!E113)-0.000631*LN(설정!$B$5)^2*LN(원데이터!E113)</f>
        <v/>
      </c>
      <c r="Y113" s="17">
        <f>원데이터!M113</f>
        <v/>
      </c>
      <c r="Z113" s="18">
        <f>X113*Y113</f>
        <v/>
      </c>
      <c r="AA113" s="18">
        <f>U113*W113</f>
        <v/>
      </c>
      <c r="AB113" s="18">
        <f>Z113*W113</f>
        <v/>
      </c>
    </row>
    <row r="114">
      <c r="A114" s="15">
        <f>원데이터!A114</f>
        <v/>
      </c>
      <c r="B114" s="14">
        <f>원데이터!A114-DATE(YEAR(원데이터!A114),1,1)+1</f>
        <v/>
      </c>
      <c r="C114" s="17">
        <f>(원데이터!B114+원데이터!C114)/2</f>
        <v/>
      </c>
      <c r="D114" s="12">
        <f>0.6108*EXP(17.27*원데이터!B114/(원데이터!B114+237.3))</f>
        <v/>
      </c>
      <c r="E114" s="12">
        <f>0.6108*EXP(17.27*원데이터!C114/(원데이터!C114+237.3))</f>
        <v/>
      </c>
      <c r="F114" s="12">
        <f>(D114+E114)/2</f>
        <v/>
      </c>
      <c r="G114" s="12">
        <f>IF(원데이터!H114&lt;&gt;"",원데이터!H114/10,IF(원데이터!I114&lt;&gt;"",0.6108*EXP(17.27*원데이터!I114/(원데이터!I114+237.3)),원데이터!E114/100*F114))</f>
        <v/>
      </c>
      <c r="H114" s="21">
        <f>4098*(0.6108*EXP(17.27*C114/(C114+237.3)))/(C114+237.3)^2</f>
        <v/>
      </c>
      <c r="I114" s="17">
        <f>IF(원데이터!J114&lt;&gt;"",원데이터!J114/10,101.3*((293-0.0065*설정!$B$3)/293)^5.26)</f>
        <v/>
      </c>
      <c r="J114" s="21">
        <f>0.000665*I114</f>
        <v/>
      </c>
      <c r="K114" s="18">
        <f>원데이터!G114*4.87/LN(67.8*설정!$B$4-5.42)</f>
        <v/>
      </c>
      <c r="L114" s="12">
        <f>1+0.033*COS(2*PI()*B114/365)</f>
        <v/>
      </c>
      <c r="M114" s="21">
        <f>0.409*SIN(2*PI()*B114/365-1.39)</f>
        <v/>
      </c>
      <c r="N114" s="21">
        <f>ACOS(-TAN(RADIANS(설정!$B$2))*TAN(M114))</f>
        <v/>
      </c>
      <c r="O114" s="18">
        <f>(24*60/PI())*0.082*L114*(N114*SIN(RADIANS(설정!$B$2))*SIN(M114)+COS(RADIANS(설정!$B$2))*COS(M114)*SIN(N114))</f>
        <v/>
      </c>
      <c r="P114" s="18">
        <f>(0.75+0.00002*설정!$B$3)*O114</f>
        <v/>
      </c>
      <c r="Q114" s="18">
        <f>IF(원데이터!K114&lt;&gt;"",원데이터!K114,(0.25+0.5*원데이터!L114/(24/PI()*N114))*O114)</f>
        <v/>
      </c>
      <c r="R114" s="18">
        <f>0.77*Q114</f>
        <v/>
      </c>
      <c r="S114" s="18">
        <f>0.000000004903*(((원데이터!B114+273.16)^4+(원데이터!C114+273.16)^4)/2)*(0.34-0.14*SQRT(G114))*(1.35*MIN(Q114/P114,1)-0.35)</f>
        <v/>
      </c>
      <c r="T114" s="18">
        <f>R114-S114</f>
        <v/>
      </c>
      <c r="U114" s="18">
        <f>(0.408*H114*T114+J114*(900/(C114+273))*K114*(F114-G114))/(H114+J114*(1+0.34*K114))</f>
        <v/>
      </c>
      <c r="V114" s="11">
        <f>IF(원데이터!A114-설정!$B$16&lt;0,"발아전",IF(원데이터!A114-설정!$B$16&lt;설정!$B$17,"초기",IF(원데이터!A114-설정!$B$16&lt;설정!$B$17+설정!$B$18,"발육",IF(원데이터!A114-설정!$B$16&lt;설정!$B$17+설정!$B$18+설정!$B$19,"중기",IF(원데이터!A114-설정!$B$16&lt;설정!$B$17+설정!$B$18+설정!$B$19+설정!$B$20,"후기","후기이후")))))</f>
        <v/>
      </c>
      <c r="W114" s="12">
        <f>IF(원데이터!A114-설정!$B$16&lt;0,0,IF(원데이터!A114-설정!$B$16&lt;설정!$B$17,설정!$B$33,IF(원데이터!A114-설정!$B$16&lt;설정!$B$17+설정!$B$18,설정!$B$33+(설정!$B$34-설정!$B$33)*(원데이터!A114-설정!$B$16-설정!$B$17+1)/설정!$B$18,IF(원데이터!A114-설정!$B$16&lt;설정!$B$17+설정!$B$18+설정!$B$19,설정!$B$34,IF(원데이터!A114-설정!$B$16&lt;설정!$B$17+설정!$B$18+설정!$B$19+설정!$B$20,설정!$B$34+(설정!$B$35-설정!$B$34)*(원데이터!A114-설정!$B$16-설정!$B$17-설정!$B$18-설정!$B$19+1)/설정!$B$20,0)))))</f>
        <v/>
      </c>
      <c r="X114" s="12">
        <f>0.108-0.0286*K114+0.0422*LN(설정!$B$5)+0.1434*LN(원데이터!E114)-0.000631*LN(설정!$B$5)^2*LN(원데이터!E114)</f>
        <v/>
      </c>
      <c r="Y114" s="17">
        <f>원데이터!M114</f>
        <v/>
      </c>
      <c r="Z114" s="18">
        <f>X114*Y114</f>
        <v/>
      </c>
      <c r="AA114" s="18">
        <f>U114*W114</f>
        <v/>
      </c>
      <c r="AB114" s="18">
        <f>Z114*W114</f>
        <v/>
      </c>
    </row>
    <row r="115">
      <c r="A115" s="15">
        <f>원데이터!A115</f>
        <v/>
      </c>
      <c r="B115" s="14">
        <f>원데이터!A115-DATE(YEAR(원데이터!A115),1,1)+1</f>
        <v/>
      </c>
      <c r="C115" s="17">
        <f>(원데이터!B115+원데이터!C115)/2</f>
        <v/>
      </c>
      <c r="D115" s="12">
        <f>0.6108*EXP(17.27*원데이터!B115/(원데이터!B115+237.3))</f>
        <v/>
      </c>
      <c r="E115" s="12">
        <f>0.6108*EXP(17.27*원데이터!C115/(원데이터!C115+237.3))</f>
        <v/>
      </c>
      <c r="F115" s="12">
        <f>(D115+E115)/2</f>
        <v/>
      </c>
      <c r="G115" s="12">
        <f>IF(원데이터!H115&lt;&gt;"",원데이터!H115/10,IF(원데이터!I115&lt;&gt;"",0.6108*EXP(17.27*원데이터!I115/(원데이터!I115+237.3)),원데이터!E115/100*F115))</f>
        <v/>
      </c>
      <c r="H115" s="21">
        <f>4098*(0.6108*EXP(17.27*C115/(C115+237.3)))/(C115+237.3)^2</f>
        <v/>
      </c>
      <c r="I115" s="17">
        <f>IF(원데이터!J115&lt;&gt;"",원데이터!J115/10,101.3*((293-0.0065*설정!$B$3)/293)^5.26)</f>
        <v/>
      </c>
      <c r="J115" s="21">
        <f>0.000665*I115</f>
        <v/>
      </c>
      <c r="K115" s="18">
        <f>원데이터!G115*4.87/LN(67.8*설정!$B$4-5.42)</f>
        <v/>
      </c>
      <c r="L115" s="12">
        <f>1+0.033*COS(2*PI()*B115/365)</f>
        <v/>
      </c>
      <c r="M115" s="21">
        <f>0.409*SIN(2*PI()*B115/365-1.39)</f>
        <v/>
      </c>
      <c r="N115" s="21">
        <f>ACOS(-TAN(RADIANS(설정!$B$2))*TAN(M115))</f>
        <v/>
      </c>
      <c r="O115" s="18">
        <f>(24*60/PI())*0.082*L115*(N115*SIN(RADIANS(설정!$B$2))*SIN(M115)+COS(RADIANS(설정!$B$2))*COS(M115)*SIN(N115))</f>
        <v/>
      </c>
      <c r="P115" s="18">
        <f>(0.75+0.00002*설정!$B$3)*O115</f>
        <v/>
      </c>
      <c r="Q115" s="18">
        <f>IF(원데이터!K115&lt;&gt;"",원데이터!K115,(0.25+0.5*원데이터!L115/(24/PI()*N115))*O115)</f>
        <v/>
      </c>
      <c r="R115" s="18">
        <f>0.77*Q115</f>
        <v/>
      </c>
      <c r="S115" s="18">
        <f>0.000000004903*(((원데이터!B115+273.16)^4+(원데이터!C115+273.16)^4)/2)*(0.34-0.14*SQRT(G115))*(1.35*MIN(Q115/P115,1)-0.35)</f>
        <v/>
      </c>
      <c r="T115" s="18">
        <f>R115-S115</f>
        <v/>
      </c>
      <c r="U115" s="18">
        <f>(0.408*H115*T115+J115*(900/(C115+273))*K115*(F115-G115))/(H115+J115*(1+0.34*K115))</f>
        <v/>
      </c>
      <c r="V115" s="11">
        <f>IF(원데이터!A115-설정!$B$16&lt;0,"발아전",IF(원데이터!A115-설정!$B$16&lt;설정!$B$17,"초기",IF(원데이터!A115-설정!$B$16&lt;설정!$B$17+설정!$B$18,"발육",IF(원데이터!A115-설정!$B$16&lt;설정!$B$17+설정!$B$18+설정!$B$19,"중기",IF(원데이터!A115-설정!$B$16&lt;설정!$B$17+설정!$B$18+설정!$B$19+설정!$B$20,"후기","후기이후")))))</f>
        <v/>
      </c>
      <c r="W115" s="12">
        <f>IF(원데이터!A115-설정!$B$16&lt;0,0,IF(원데이터!A115-설정!$B$16&lt;설정!$B$17,설정!$B$33,IF(원데이터!A115-설정!$B$16&lt;설정!$B$17+설정!$B$18,설정!$B$33+(설정!$B$34-설정!$B$33)*(원데이터!A115-설정!$B$16-설정!$B$17+1)/설정!$B$18,IF(원데이터!A115-설정!$B$16&lt;설정!$B$17+설정!$B$18+설정!$B$19,설정!$B$34,IF(원데이터!A115-설정!$B$16&lt;설정!$B$17+설정!$B$18+설정!$B$19+설정!$B$20,설정!$B$34+(설정!$B$35-설정!$B$34)*(원데이터!A115-설정!$B$16-설정!$B$17-설정!$B$18-설정!$B$19+1)/설정!$B$20,0)))))</f>
        <v/>
      </c>
      <c r="X115" s="12">
        <f>0.108-0.0286*K115+0.0422*LN(설정!$B$5)+0.1434*LN(원데이터!E115)-0.000631*LN(설정!$B$5)^2*LN(원데이터!E115)</f>
        <v/>
      </c>
      <c r="Y115" s="17">
        <f>원데이터!M115</f>
        <v/>
      </c>
      <c r="Z115" s="18">
        <f>X115*Y115</f>
        <v/>
      </c>
      <c r="AA115" s="18">
        <f>U115*W115</f>
        <v/>
      </c>
      <c r="AB115" s="18">
        <f>Z115*W115</f>
        <v/>
      </c>
    </row>
    <row r="116">
      <c r="A116" s="15">
        <f>원데이터!A116</f>
        <v/>
      </c>
      <c r="B116" s="14">
        <f>원데이터!A116-DATE(YEAR(원데이터!A116),1,1)+1</f>
        <v/>
      </c>
      <c r="C116" s="17">
        <f>(원데이터!B116+원데이터!C116)/2</f>
        <v/>
      </c>
      <c r="D116" s="12">
        <f>0.6108*EXP(17.27*원데이터!B116/(원데이터!B116+237.3))</f>
        <v/>
      </c>
      <c r="E116" s="12">
        <f>0.6108*EXP(17.27*원데이터!C116/(원데이터!C116+237.3))</f>
        <v/>
      </c>
      <c r="F116" s="12">
        <f>(D116+E116)/2</f>
        <v/>
      </c>
      <c r="G116" s="12">
        <f>IF(원데이터!H116&lt;&gt;"",원데이터!H116/10,IF(원데이터!I116&lt;&gt;"",0.6108*EXP(17.27*원데이터!I116/(원데이터!I116+237.3)),원데이터!E116/100*F116))</f>
        <v/>
      </c>
      <c r="H116" s="21">
        <f>4098*(0.6108*EXP(17.27*C116/(C116+237.3)))/(C116+237.3)^2</f>
        <v/>
      </c>
      <c r="I116" s="17">
        <f>IF(원데이터!J116&lt;&gt;"",원데이터!J116/10,101.3*((293-0.0065*설정!$B$3)/293)^5.26)</f>
        <v/>
      </c>
      <c r="J116" s="21">
        <f>0.000665*I116</f>
        <v/>
      </c>
      <c r="K116" s="18">
        <f>원데이터!G116*4.87/LN(67.8*설정!$B$4-5.42)</f>
        <v/>
      </c>
      <c r="L116" s="12">
        <f>1+0.033*COS(2*PI()*B116/365)</f>
        <v/>
      </c>
      <c r="M116" s="21">
        <f>0.409*SIN(2*PI()*B116/365-1.39)</f>
        <v/>
      </c>
      <c r="N116" s="21">
        <f>ACOS(-TAN(RADIANS(설정!$B$2))*TAN(M116))</f>
        <v/>
      </c>
      <c r="O116" s="18">
        <f>(24*60/PI())*0.082*L116*(N116*SIN(RADIANS(설정!$B$2))*SIN(M116)+COS(RADIANS(설정!$B$2))*COS(M116)*SIN(N116))</f>
        <v/>
      </c>
      <c r="P116" s="18">
        <f>(0.75+0.00002*설정!$B$3)*O116</f>
        <v/>
      </c>
      <c r="Q116" s="18">
        <f>IF(원데이터!K116&lt;&gt;"",원데이터!K116,(0.25+0.5*원데이터!L116/(24/PI()*N116))*O116)</f>
        <v/>
      </c>
      <c r="R116" s="18">
        <f>0.77*Q116</f>
        <v/>
      </c>
      <c r="S116" s="18">
        <f>0.000000004903*(((원데이터!B116+273.16)^4+(원데이터!C116+273.16)^4)/2)*(0.34-0.14*SQRT(G116))*(1.35*MIN(Q116/P116,1)-0.35)</f>
        <v/>
      </c>
      <c r="T116" s="18">
        <f>R116-S116</f>
        <v/>
      </c>
      <c r="U116" s="18">
        <f>(0.408*H116*T116+J116*(900/(C116+273))*K116*(F116-G116))/(H116+J116*(1+0.34*K116))</f>
        <v/>
      </c>
      <c r="V116" s="11">
        <f>IF(원데이터!A116-설정!$B$16&lt;0,"발아전",IF(원데이터!A116-설정!$B$16&lt;설정!$B$17,"초기",IF(원데이터!A116-설정!$B$16&lt;설정!$B$17+설정!$B$18,"발육",IF(원데이터!A116-설정!$B$16&lt;설정!$B$17+설정!$B$18+설정!$B$19,"중기",IF(원데이터!A116-설정!$B$16&lt;설정!$B$17+설정!$B$18+설정!$B$19+설정!$B$20,"후기","후기이후")))))</f>
        <v/>
      </c>
      <c r="W116" s="12">
        <f>IF(원데이터!A116-설정!$B$16&lt;0,0,IF(원데이터!A116-설정!$B$16&lt;설정!$B$17,설정!$B$33,IF(원데이터!A116-설정!$B$16&lt;설정!$B$17+설정!$B$18,설정!$B$33+(설정!$B$34-설정!$B$33)*(원데이터!A116-설정!$B$16-설정!$B$17+1)/설정!$B$18,IF(원데이터!A116-설정!$B$16&lt;설정!$B$17+설정!$B$18+설정!$B$19,설정!$B$34,IF(원데이터!A116-설정!$B$16&lt;설정!$B$17+설정!$B$18+설정!$B$19+설정!$B$20,설정!$B$34+(설정!$B$35-설정!$B$34)*(원데이터!A116-설정!$B$16-설정!$B$17-설정!$B$18-설정!$B$19+1)/설정!$B$20,0)))))</f>
        <v/>
      </c>
      <c r="X116" s="12">
        <f>0.108-0.0286*K116+0.0422*LN(설정!$B$5)+0.1434*LN(원데이터!E116)-0.000631*LN(설정!$B$5)^2*LN(원데이터!E116)</f>
        <v/>
      </c>
      <c r="Y116" s="17">
        <f>원데이터!M116</f>
        <v/>
      </c>
      <c r="Z116" s="18">
        <f>X116*Y116</f>
        <v/>
      </c>
      <c r="AA116" s="18">
        <f>U116*W116</f>
        <v/>
      </c>
      <c r="AB116" s="18">
        <f>Z116*W116</f>
        <v/>
      </c>
    </row>
    <row r="117">
      <c r="A117" s="15">
        <f>원데이터!A117</f>
        <v/>
      </c>
      <c r="B117" s="14">
        <f>원데이터!A117-DATE(YEAR(원데이터!A117),1,1)+1</f>
        <v/>
      </c>
      <c r="C117" s="17">
        <f>(원데이터!B117+원데이터!C117)/2</f>
        <v/>
      </c>
      <c r="D117" s="12">
        <f>0.6108*EXP(17.27*원데이터!B117/(원데이터!B117+237.3))</f>
        <v/>
      </c>
      <c r="E117" s="12">
        <f>0.6108*EXP(17.27*원데이터!C117/(원데이터!C117+237.3))</f>
        <v/>
      </c>
      <c r="F117" s="12">
        <f>(D117+E117)/2</f>
        <v/>
      </c>
      <c r="G117" s="12">
        <f>IF(원데이터!H117&lt;&gt;"",원데이터!H117/10,IF(원데이터!I117&lt;&gt;"",0.6108*EXP(17.27*원데이터!I117/(원데이터!I117+237.3)),원데이터!E117/100*F117))</f>
        <v/>
      </c>
      <c r="H117" s="21">
        <f>4098*(0.6108*EXP(17.27*C117/(C117+237.3)))/(C117+237.3)^2</f>
        <v/>
      </c>
      <c r="I117" s="17">
        <f>IF(원데이터!J117&lt;&gt;"",원데이터!J117/10,101.3*((293-0.0065*설정!$B$3)/293)^5.26)</f>
        <v/>
      </c>
      <c r="J117" s="21">
        <f>0.000665*I117</f>
        <v/>
      </c>
      <c r="K117" s="18">
        <f>원데이터!G117*4.87/LN(67.8*설정!$B$4-5.42)</f>
        <v/>
      </c>
      <c r="L117" s="12">
        <f>1+0.033*COS(2*PI()*B117/365)</f>
        <v/>
      </c>
      <c r="M117" s="21">
        <f>0.409*SIN(2*PI()*B117/365-1.39)</f>
        <v/>
      </c>
      <c r="N117" s="21">
        <f>ACOS(-TAN(RADIANS(설정!$B$2))*TAN(M117))</f>
        <v/>
      </c>
      <c r="O117" s="18">
        <f>(24*60/PI())*0.082*L117*(N117*SIN(RADIANS(설정!$B$2))*SIN(M117)+COS(RADIANS(설정!$B$2))*COS(M117)*SIN(N117))</f>
        <v/>
      </c>
      <c r="P117" s="18">
        <f>(0.75+0.00002*설정!$B$3)*O117</f>
        <v/>
      </c>
      <c r="Q117" s="18">
        <f>IF(원데이터!K117&lt;&gt;"",원데이터!K117,(0.25+0.5*원데이터!L117/(24/PI()*N117))*O117)</f>
        <v/>
      </c>
      <c r="R117" s="18">
        <f>0.77*Q117</f>
        <v/>
      </c>
      <c r="S117" s="18">
        <f>0.000000004903*(((원데이터!B117+273.16)^4+(원데이터!C117+273.16)^4)/2)*(0.34-0.14*SQRT(G117))*(1.35*MIN(Q117/P117,1)-0.35)</f>
        <v/>
      </c>
      <c r="T117" s="18">
        <f>R117-S117</f>
        <v/>
      </c>
      <c r="U117" s="18">
        <f>(0.408*H117*T117+J117*(900/(C117+273))*K117*(F117-G117))/(H117+J117*(1+0.34*K117))</f>
        <v/>
      </c>
      <c r="V117" s="11">
        <f>IF(원데이터!A117-설정!$B$16&lt;0,"발아전",IF(원데이터!A117-설정!$B$16&lt;설정!$B$17,"초기",IF(원데이터!A117-설정!$B$16&lt;설정!$B$17+설정!$B$18,"발육",IF(원데이터!A117-설정!$B$16&lt;설정!$B$17+설정!$B$18+설정!$B$19,"중기",IF(원데이터!A117-설정!$B$16&lt;설정!$B$17+설정!$B$18+설정!$B$19+설정!$B$20,"후기","후기이후")))))</f>
        <v/>
      </c>
      <c r="W117" s="12">
        <f>IF(원데이터!A117-설정!$B$16&lt;0,0,IF(원데이터!A117-설정!$B$16&lt;설정!$B$17,설정!$B$33,IF(원데이터!A117-설정!$B$16&lt;설정!$B$17+설정!$B$18,설정!$B$33+(설정!$B$34-설정!$B$33)*(원데이터!A117-설정!$B$16-설정!$B$17+1)/설정!$B$18,IF(원데이터!A117-설정!$B$16&lt;설정!$B$17+설정!$B$18+설정!$B$19,설정!$B$34,IF(원데이터!A117-설정!$B$16&lt;설정!$B$17+설정!$B$18+설정!$B$19+설정!$B$20,설정!$B$34+(설정!$B$35-설정!$B$34)*(원데이터!A117-설정!$B$16-설정!$B$17-설정!$B$18-설정!$B$19+1)/설정!$B$20,0)))))</f>
        <v/>
      </c>
      <c r="X117" s="12">
        <f>0.108-0.0286*K117+0.0422*LN(설정!$B$5)+0.1434*LN(원데이터!E117)-0.000631*LN(설정!$B$5)^2*LN(원데이터!E117)</f>
        <v/>
      </c>
      <c r="Y117" s="17">
        <f>원데이터!M117</f>
        <v/>
      </c>
      <c r="Z117" s="18">
        <f>X117*Y117</f>
        <v/>
      </c>
      <c r="AA117" s="18">
        <f>U117*W117</f>
        <v/>
      </c>
      <c r="AB117" s="18">
        <f>Z117*W117</f>
        <v/>
      </c>
    </row>
    <row r="118">
      <c r="A118" s="15">
        <f>원데이터!A118</f>
        <v/>
      </c>
      <c r="B118" s="14">
        <f>원데이터!A118-DATE(YEAR(원데이터!A118),1,1)+1</f>
        <v/>
      </c>
      <c r="C118" s="17">
        <f>(원데이터!B118+원데이터!C118)/2</f>
        <v/>
      </c>
      <c r="D118" s="12">
        <f>0.6108*EXP(17.27*원데이터!B118/(원데이터!B118+237.3))</f>
        <v/>
      </c>
      <c r="E118" s="12">
        <f>0.6108*EXP(17.27*원데이터!C118/(원데이터!C118+237.3))</f>
        <v/>
      </c>
      <c r="F118" s="12">
        <f>(D118+E118)/2</f>
        <v/>
      </c>
      <c r="G118" s="12">
        <f>IF(원데이터!H118&lt;&gt;"",원데이터!H118/10,IF(원데이터!I118&lt;&gt;"",0.6108*EXP(17.27*원데이터!I118/(원데이터!I118+237.3)),원데이터!E118/100*F118))</f>
        <v/>
      </c>
      <c r="H118" s="21">
        <f>4098*(0.6108*EXP(17.27*C118/(C118+237.3)))/(C118+237.3)^2</f>
        <v/>
      </c>
      <c r="I118" s="17">
        <f>IF(원데이터!J118&lt;&gt;"",원데이터!J118/10,101.3*((293-0.0065*설정!$B$3)/293)^5.26)</f>
        <v/>
      </c>
      <c r="J118" s="21">
        <f>0.000665*I118</f>
        <v/>
      </c>
      <c r="K118" s="18">
        <f>원데이터!G118*4.87/LN(67.8*설정!$B$4-5.42)</f>
        <v/>
      </c>
      <c r="L118" s="12">
        <f>1+0.033*COS(2*PI()*B118/365)</f>
        <v/>
      </c>
      <c r="M118" s="21">
        <f>0.409*SIN(2*PI()*B118/365-1.39)</f>
        <v/>
      </c>
      <c r="N118" s="21">
        <f>ACOS(-TAN(RADIANS(설정!$B$2))*TAN(M118))</f>
        <v/>
      </c>
      <c r="O118" s="18">
        <f>(24*60/PI())*0.082*L118*(N118*SIN(RADIANS(설정!$B$2))*SIN(M118)+COS(RADIANS(설정!$B$2))*COS(M118)*SIN(N118))</f>
        <v/>
      </c>
      <c r="P118" s="18">
        <f>(0.75+0.00002*설정!$B$3)*O118</f>
        <v/>
      </c>
      <c r="Q118" s="18">
        <f>IF(원데이터!K118&lt;&gt;"",원데이터!K118,(0.25+0.5*원데이터!L118/(24/PI()*N118))*O118)</f>
        <v/>
      </c>
      <c r="R118" s="18">
        <f>0.77*Q118</f>
        <v/>
      </c>
      <c r="S118" s="18">
        <f>0.000000004903*(((원데이터!B118+273.16)^4+(원데이터!C118+273.16)^4)/2)*(0.34-0.14*SQRT(G118))*(1.35*MIN(Q118/P118,1)-0.35)</f>
        <v/>
      </c>
      <c r="T118" s="18">
        <f>R118-S118</f>
        <v/>
      </c>
      <c r="U118" s="18">
        <f>(0.408*H118*T118+J118*(900/(C118+273))*K118*(F118-G118))/(H118+J118*(1+0.34*K118))</f>
        <v/>
      </c>
      <c r="V118" s="11">
        <f>IF(원데이터!A118-설정!$B$16&lt;0,"발아전",IF(원데이터!A118-설정!$B$16&lt;설정!$B$17,"초기",IF(원데이터!A118-설정!$B$16&lt;설정!$B$17+설정!$B$18,"발육",IF(원데이터!A118-설정!$B$16&lt;설정!$B$17+설정!$B$18+설정!$B$19,"중기",IF(원데이터!A118-설정!$B$16&lt;설정!$B$17+설정!$B$18+설정!$B$19+설정!$B$20,"후기","후기이후")))))</f>
        <v/>
      </c>
      <c r="W118" s="12">
        <f>IF(원데이터!A118-설정!$B$16&lt;0,0,IF(원데이터!A118-설정!$B$16&lt;설정!$B$17,설정!$B$33,IF(원데이터!A118-설정!$B$16&lt;설정!$B$17+설정!$B$18,설정!$B$33+(설정!$B$34-설정!$B$33)*(원데이터!A118-설정!$B$16-설정!$B$17+1)/설정!$B$18,IF(원데이터!A118-설정!$B$16&lt;설정!$B$17+설정!$B$18+설정!$B$19,설정!$B$34,IF(원데이터!A118-설정!$B$16&lt;설정!$B$17+설정!$B$18+설정!$B$19+설정!$B$20,설정!$B$34+(설정!$B$35-설정!$B$34)*(원데이터!A118-설정!$B$16-설정!$B$17-설정!$B$18-설정!$B$19+1)/설정!$B$20,0)))))</f>
        <v/>
      </c>
      <c r="X118" s="12">
        <f>0.108-0.0286*K118+0.0422*LN(설정!$B$5)+0.1434*LN(원데이터!E118)-0.000631*LN(설정!$B$5)^2*LN(원데이터!E118)</f>
        <v/>
      </c>
      <c r="Y118" s="17">
        <f>원데이터!M118</f>
        <v/>
      </c>
      <c r="Z118" s="18">
        <f>X118*Y118</f>
        <v/>
      </c>
      <c r="AA118" s="18">
        <f>U118*W118</f>
        <v/>
      </c>
      <c r="AB118" s="18">
        <f>Z118*W118</f>
        <v/>
      </c>
    </row>
    <row r="119">
      <c r="A119" s="15">
        <f>원데이터!A119</f>
        <v/>
      </c>
      <c r="B119" s="14">
        <f>원데이터!A119-DATE(YEAR(원데이터!A119),1,1)+1</f>
        <v/>
      </c>
      <c r="C119" s="17">
        <f>(원데이터!B119+원데이터!C119)/2</f>
        <v/>
      </c>
      <c r="D119" s="12">
        <f>0.6108*EXP(17.27*원데이터!B119/(원데이터!B119+237.3))</f>
        <v/>
      </c>
      <c r="E119" s="12">
        <f>0.6108*EXP(17.27*원데이터!C119/(원데이터!C119+237.3))</f>
        <v/>
      </c>
      <c r="F119" s="12">
        <f>(D119+E119)/2</f>
        <v/>
      </c>
      <c r="G119" s="12">
        <f>IF(원데이터!H119&lt;&gt;"",원데이터!H119/10,IF(원데이터!I119&lt;&gt;"",0.6108*EXP(17.27*원데이터!I119/(원데이터!I119+237.3)),원데이터!E119/100*F119))</f>
        <v/>
      </c>
      <c r="H119" s="21">
        <f>4098*(0.6108*EXP(17.27*C119/(C119+237.3)))/(C119+237.3)^2</f>
        <v/>
      </c>
      <c r="I119" s="17">
        <f>IF(원데이터!J119&lt;&gt;"",원데이터!J119/10,101.3*((293-0.0065*설정!$B$3)/293)^5.26)</f>
        <v/>
      </c>
      <c r="J119" s="21">
        <f>0.000665*I119</f>
        <v/>
      </c>
      <c r="K119" s="18">
        <f>원데이터!G119*4.87/LN(67.8*설정!$B$4-5.42)</f>
        <v/>
      </c>
      <c r="L119" s="12">
        <f>1+0.033*COS(2*PI()*B119/365)</f>
        <v/>
      </c>
      <c r="M119" s="21">
        <f>0.409*SIN(2*PI()*B119/365-1.39)</f>
        <v/>
      </c>
      <c r="N119" s="21">
        <f>ACOS(-TAN(RADIANS(설정!$B$2))*TAN(M119))</f>
        <v/>
      </c>
      <c r="O119" s="18">
        <f>(24*60/PI())*0.082*L119*(N119*SIN(RADIANS(설정!$B$2))*SIN(M119)+COS(RADIANS(설정!$B$2))*COS(M119)*SIN(N119))</f>
        <v/>
      </c>
      <c r="P119" s="18">
        <f>(0.75+0.00002*설정!$B$3)*O119</f>
        <v/>
      </c>
      <c r="Q119" s="18">
        <f>IF(원데이터!K119&lt;&gt;"",원데이터!K119,(0.25+0.5*원데이터!L119/(24/PI()*N119))*O119)</f>
        <v/>
      </c>
      <c r="R119" s="18">
        <f>0.77*Q119</f>
        <v/>
      </c>
      <c r="S119" s="18">
        <f>0.000000004903*(((원데이터!B119+273.16)^4+(원데이터!C119+273.16)^4)/2)*(0.34-0.14*SQRT(G119))*(1.35*MIN(Q119/P119,1)-0.35)</f>
        <v/>
      </c>
      <c r="T119" s="18">
        <f>R119-S119</f>
        <v/>
      </c>
      <c r="U119" s="18">
        <f>(0.408*H119*T119+J119*(900/(C119+273))*K119*(F119-G119))/(H119+J119*(1+0.34*K119))</f>
        <v/>
      </c>
      <c r="V119" s="11">
        <f>IF(원데이터!A119-설정!$B$16&lt;0,"발아전",IF(원데이터!A119-설정!$B$16&lt;설정!$B$17,"초기",IF(원데이터!A119-설정!$B$16&lt;설정!$B$17+설정!$B$18,"발육",IF(원데이터!A119-설정!$B$16&lt;설정!$B$17+설정!$B$18+설정!$B$19,"중기",IF(원데이터!A119-설정!$B$16&lt;설정!$B$17+설정!$B$18+설정!$B$19+설정!$B$20,"후기","후기이후")))))</f>
        <v/>
      </c>
      <c r="W119" s="12">
        <f>IF(원데이터!A119-설정!$B$16&lt;0,0,IF(원데이터!A119-설정!$B$16&lt;설정!$B$17,설정!$B$33,IF(원데이터!A119-설정!$B$16&lt;설정!$B$17+설정!$B$18,설정!$B$33+(설정!$B$34-설정!$B$33)*(원데이터!A119-설정!$B$16-설정!$B$17+1)/설정!$B$18,IF(원데이터!A119-설정!$B$16&lt;설정!$B$17+설정!$B$18+설정!$B$19,설정!$B$34,IF(원데이터!A119-설정!$B$16&lt;설정!$B$17+설정!$B$18+설정!$B$19+설정!$B$20,설정!$B$34+(설정!$B$35-설정!$B$34)*(원데이터!A119-설정!$B$16-설정!$B$17-설정!$B$18-설정!$B$19+1)/설정!$B$20,0)))))</f>
        <v/>
      </c>
      <c r="X119" s="12">
        <f>0.108-0.0286*K119+0.0422*LN(설정!$B$5)+0.1434*LN(원데이터!E119)-0.000631*LN(설정!$B$5)^2*LN(원데이터!E119)</f>
        <v/>
      </c>
      <c r="Y119" s="17">
        <f>원데이터!M119</f>
        <v/>
      </c>
      <c r="Z119" s="18">
        <f>X119*Y119</f>
        <v/>
      </c>
      <c r="AA119" s="18">
        <f>U119*W119</f>
        <v/>
      </c>
      <c r="AB119" s="18">
        <f>Z119*W119</f>
        <v/>
      </c>
    </row>
    <row r="120">
      <c r="A120" s="15">
        <f>원데이터!A120</f>
        <v/>
      </c>
      <c r="B120" s="14">
        <f>원데이터!A120-DATE(YEAR(원데이터!A120),1,1)+1</f>
        <v/>
      </c>
      <c r="C120" s="17">
        <f>(원데이터!B120+원데이터!C120)/2</f>
        <v/>
      </c>
      <c r="D120" s="12">
        <f>0.6108*EXP(17.27*원데이터!B120/(원데이터!B120+237.3))</f>
        <v/>
      </c>
      <c r="E120" s="12">
        <f>0.6108*EXP(17.27*원데이터!C120/(원데이터!C120+237.3))</f>
        <v/>
      </c>
      <c r="F120" s="12">
        <f>(D120+E120)/2</f>
        <v/>
      </c>
      <c r="G120" s="12">
        <f>IF(원데이터!H120&lt;&gt;"",원데이터!H120/10,IF(원데이터!I120&lt;&gt;"",0.6108*EXP(17.27*원데이터!I120/(원데이터!I120+237.3)),원데이터!E120/100*F120))</f>
        <v/>
      </c>
      <c r="H120" s="21">
        <f>4098*(0.6108*EXP(17.27*C120/(C120+237.3)))/(C120+237.3)^2</f>
        <v/>
      </c>
      <c r="I120" s="17">
        <f>IF(원데이터!J120&lt;&gt;"",원데이터!J120/10,101.3*((293-0.0065*설정!$B$3)/293)^5.26)</f>
        <v/>
      </c>
      <c r="J120" s="21">
        <f>0.000665*I120</f>
        <v/>
      </c>
      <c r="K120" s="18">
        <f>원데이터!G120*4.87/LN(67.8*설정!$B$4-5.42)</f>
        <v/>
      </c>
      <c r="L120" s="12">
        <f>1+0.033*COS(2*PI()*B120/365)</f>
        <v/>
      </c>
      <c r="M120" s="21">
        <f>0.409*SIN(2*PI()*B120/365-1.39)</f>
        <v/>
      </c>
      <c r="N120" s="21">
        <f>ACOS(-TAN(RADIANS(설정!$B$2))*TAN(M120))</f>
        <v/>
      </c>
      <c r="O120" s="18">
        <f>(24*60/PI())*0.082*L120*(N120*SIN(RADIANS(설정!$B$2))*SIN(M120)+COS(RADIANS(설정!$B$2))*COS(M120)*SIN(N120))</f>
        <v/>
      </c>
      <c r="P120" s="18">
        <f>(0.75+0.00002*설정!$B$3)*O120</f>
        <v/>
      </c>
      <c r="Q120" s="18">
        <f>IF(원데이터!K120&lt;&gt;"",원데이터!K120,(0.25+0.5*원데이터!L120/(24/PI()*N120))*O120)</f>
        <v/>
      </c>
      <c r="R120" s="18">
        <f>0.77*Q120</f>
        <v/>
      </c>
      <c r="S120" s="18">
        <f>0.000000004903*(((원데이터!B120+273.16)^4+(원데이터!C120+273.16)^4)/2)*(0.34-0.14*SQRT(G120))*(1.35*MIN(Q120/P120,1)-0.35)</f>
        <v/>
      </c>
      <c r="T120" s="18">
        <f>R120-S120</f>
        <v/>
      </c>
      <c r="U120" s="18">
        <f>(0.408*H120*T120+J120*(900/(C120+273))*K120*(F120-G120))/(H120+J120*(1+0.34*K120))</f>
        <v/>
      </c>
      <c r="V120" s="11">
        <f>IF(원데이터!A120-설정!$B$16&lt;0,"발아전",IF(원데이터!A120-설정!$B$16&lt;설정!$B$17,"초기",IF(원데이터!A120-설정!$B$16&lt;설정!$B$17+설정!$B$18,"발육",IF(원데이터!A120-설정!$B$16&lt;설정!$B$17+설정!$B$18+설정!$B$19,"중기",IF(원데이터!A120-설정!$B$16&lt;설정!$B$17+설정!$B$18+설정!$B$19+설정!$B$20,"후기","후기이후")))))</f>
        <v/>
      </c>
      <c r="W120" s="12">
        <f>IF(원데이터!A120-설정!$B$16&lt;0,0,IF(원데이터!A120-설정!$B$16&lt;설정!$B$17,설정!$B$33,IF(원데이터!A120-설정!$B$16&lt;설정!$B$17+설정!$B$18,설정!$B$33+(설정!$B$34-설정!$B$33)*(원데이터!A120-설정!$B$16-설정!$B$17+1)/설정!$B$18,IF(원데이터!A120-설정!$B$16&lt;설정!$B$17+설정!$B$18+설정!$B$19,설정!$B$34,IF(원데이터!A120-설정!$B$16&lt;설정!$B$17+설정!$B$18+설정!$B$19+설정!$B$20,설정!$B$34+(설정!$B$35-설정!$B$34)*(원데이터!A120-설정!$B$16-설정!$B$17-설정!$B$18-설정!$B$19+1)/설정!$B$20,0)))))</f>
        <v/>
      </c>
      <c r="X120" s="12">
        <f>0.108-0.0286*K120+0.0422*LN(설정!$B$5)+0.1434*LN(원데이터!E120)-0.000631*LN(설정!$B$5)^2*LN(원데이터!E120)</f>
        <v/>
      </c>
      <c r="Y120" s="17">
        <f>원데이터!M120</f>
        <v/>
      </c>
      <c r="Z120" s="18">
        <f>X120*Y120</f>
        <v/>
      </c>
      <c r="AA120" s="18">
        <f>U120*W120</f>
        <v/>
      </c>
      <c r="AB120" s="18">
        <f>Z120*W120</f>
        <v/>
      </c>
    </row>
    <row r="121">
      <c r="A121" s="15">
        <f>원데이터!A121</f>
        <v/>
      </c>
      <c r="B121" s="14">
        <f>원데이터!A121-DATE(YEAR(원데이터!A121),1,1)+1</f>
        <v/>
      </c>
      <c r="C121" s="17">
        <f>(원데이터!B121+원데이터!C121)/2</f>
        <v/>
      </c>
      <c r="D121" s="12">
        <f>0.6108*EXP(17.27*원데이터!B121/(원데이터!B121+237.3))</f>
        <v/>
      </c>
      <c r="E121" s="12">
        <f>0.6108*EXP(17.27*원데이터!C121/(원데이터!C121+237.3))</f>
        <v/>
      </c>
      <c r="F121" s="12">
        <f>(D121+E121)/2</f>
        <v/>
      </c>
      <c r="G121" s="12">
        <f>IF(원데이터!H121&lt;&gt;"",원데이터!H121/10,IF(원데이터!I121&lt;&gt;"",0.6108*EXP(17.27*원데이터!I121/(원데이터!I121+237.3)),원데이터!E121/100*F121))</f>
        <v/>
      </c>
      <c r="H121" s="21">
        <f>4098*(0.6108*EXP(17.27*C121/(C121+237.3)))/(C121+237.3)^2</f>
        <v/>
      </c>
      <c r="I121" s="17">
        <f>IF(원데이터!J121&lt;&gt;"",원데이터!J121/10,101.3*((293-0.0065*설정!$B$3)/293)^5.26)</f>
        <v/>
      </c>
      <c r="J121" s="21">
        <f>0.000665*I121</f>
        <v/>
      </c>
      <c r="K121" s="18">
        <f>원데이터!G121*4.87/LN(67.8*설정!$B$4-5.42)</f>
        <v/>
      </c>
      <c r="L121" s="12">
        <f>1+0.033*COS(2*PI()*B121/365)</f>
        <v/>
      </c>
      <c r="M121" s="21">
        <f>0.409*SIN(2*PI()*B121/365-1.39)</f>
        <v/>
      </c>
      <c r="N121" s="21">
        <f>ACOS(-TAN(RADIANS(설정!$B$2))*TAN(M121))</f>
        <v/>
      </c>
      <c r="O121" s="18">
        <f>(24*60/PI())*0.082*L121*(N121*SIN(RADIANS(설정!$B$2))*SIN(M121)+COS(RADIANS(설정!$B$2))*COS(M121)*SIN(N121))</f>
        <v/>
      </c>
      <c r="P121" s="18">
        <f>(0.75+0.00002*설정!$B$3)*O121</f>
        <v/>
      </c>
      <c r="Q121" s="18">
        <f>IF(원데이터!K121&lt;&gt;"",원데이터!K121,(0.25+0.5*원데이터!L121/(24/PI()*N121))*O121)</f>
        <v/>
      </c>
      <c r="R121" s="18">
        <f>0.77*Q121</f>
        <v/>
      </c>
      <c r="S121" s="18">
        <f>0.000000004903*(((원데이터!B121+273.16)^4+(원데이터!C121+273.16)^4)/2)*(0.34-0.14*SQRT(G121))*(1.35*MIN(Q121/P121,1)-0.35)</f>
        <v/>
      </c>
      <c r="T121" s="18">
        <f>R121-S121</f>
        <v/>
      </c>
      <c r="U121" s="18">
        <f>(0.408*H121*T121+J121*(900/(C121+273))*K121*(F121-G121))/(H121+J121*(1+0.34*K121))</f>
        <v/>
      </c>
      <c r="V121" s="11">
        <f>IF(원데이터!A121-설정!$B$16&lt;0,"발아전",IF(원데이터!A121-설정!$B$16&lt;설정!$B$17,"초기",IF(원데이터!A121-설정!$B$16&lt;설정!$B$17+설정!$B$18,"발육",IF(원데이터!A121-설정!$B$16&lt;설정!$B$17+설정!$B$18+설정!$B$19,"중기",IF(원데이터!A121-설정!$B$16&lt;설정!$B$17+설정!$B$18+설정!$B$19+설정!$B$20,"후기","후기이후")))))</f>
        <v/>
      </c>
      <c r="W121" s="12">
        <f>IF(원데이터!A121-설정!$B$16&lt;0,0,IF(원데이터!A121-설정!$B$16&lt;설정!$B$17,설정!$B$33,IF(원데이터!A121-설정!$B$16&lt;설정!$B$17+설정!$B$18,설정!$B$33+(설정!$B$34-설정!$B$33)*(원데이터!A121-설정!$B$16-설정!$B$17+1)/설정!$B$18,IF(원데이터!A121-설정!$B$16&lt;설정!$B$17+설정!$B$18+설정!$B$19,설정!$B$34,IF(원데이터!A121-설정!$B$16&lt;설정!$B$17+설정!$B$18+설정!$B$19+설정!$B$20,설정!$B$34+(설정!$B$35-설정!$B$34)*(원데이터!A121-설정!$B$16-설정!$B$17-설정!$B$18-설정!$B$19+1)/설정!$B$20,0)))))</f>
        <v/>
      </c>
      <c r="X121" s="12">
        <f>0.108-0.0286*K121+0.0422*LN(설정!$B$5)+0.1434*LN(원데이터!E121)-0.000631*LN(설정!$B$5)^2*LN(원데이터!E121)</f>
        <v/>
      </c>
      <c r="Y121" s="17">
        <f>원데이터!M121</f>
        <v/>
      </c>
      <c r="Z121" s="18">
        <f>X121*Y121</f>
        <v/>
      </c>
      <c r="AA121" s="18">
        <f>U121*W121</f>
        <v/>
      </c>
      <c r="AB121" s="18">
        <f>Z121*W121</f>
        <v/>
      </c>
    </row>
    <row r="122">
      <c r="A122" s="15">
        <f>원데이터!A122</f>
        <v/>
      </c>
      <c r="B122" s="14">
        <f>원데이터!A122-DATE(YEAR(원데이터!A122),1,1)+1</f>
        <v/>
      </c>
      <c r="C122" s="17">
        <f>(원데이터!B122+원데이터!C122)/2</f>
        <v/>
      </c>
      <c r="D122" s="12">
        <f>0.6108*EXP(17.27*원데이터!B122/(원데이터!B122+237.3))</f>
        <v/>
      </c>
      <c r="E122" s="12">
        <f>0.6108*EXP(17.27*원데이터!C122/(원데이터!C122+237.3))</f>
        <v/>
      </c>
      <c r="F122" s="12">
        <f>(D122+E122)/2</f>
        <v/>
      </c>
      <c r="G122" s="12">
        <f>IF(원데이터!H122&lt;&gt;"",원데이터!H122/10,IF(원데이터!I122&lt;&gt;"",0.6108*EXP(17.27*원데이터!I122/(원데이터!I122+237.3)),원데이터!E122/100*F122))</f>
        <v/>
      </c>
      <c r="H122" s="21">
        <f>4098*(0.6108*EXP(17.27*C122/(C122+237.3)))/(C122+237.3)^2</f>
        <v/>
      </c>
      <c r="I122" s="17">
        <f>IF(원데이터!J122&lt;&gt;"",원데이터!J122/10,101.3*((293-0.0065*설정!$B$3)/293)^5.26)</f>
        <v/>
      </c>
      <c r="J122" s="21">
        <f>0.000665*I122</f>
        <v/>
      </c>
      <c r="K122" s="18">
        <f>원데이터!G122*4.87/LN(67.8*설정!$B$4-5.42)</f>
        <v/>
      </c>
      <c r="L122" s="12">
        <f>1+0.033*COS(2*PI()*B122/365)</f>
        <v/>
      </c>
      <c r="M122" s="21">
        <f>0.409*SIN(2*PI()*B122/365-1.39)</f>
        <v/>
      </c>
      <c r="N122" s="21">
        <f>ACOS(-TAN(RADIANS(설정!$B$2))*TAN(M122))</f>
        <v/>
      </c>
      <c r="O122" s="18">
        <f>(24*60/PI())*0.082*L122*(N122*SIN(RADIANS(설정!$B$2))*SIN(M122)+COS(RADIANS(설정!$B$2))*COS(M122)*SIN(N122))</f>
        <v/>
      </c>
      <c r="P122" s="18">
        <f>(0.75+0.00002*설정!$B$3)*O122</f>
        <v/>
      </c>
      <c r="Q122" s="18">
        <f>IF(원데이터!K122&lt;&gt;"",원데이터!K122,(0.25+0.5*원데이터!L122/(24/PI()*N122))*O122)</f>
        <v/>
      </c>
      <c r="R122" s="18">
        <f>0.77*Q122</f>
        <v/>
      </c>
      <c r="S122" s="18">
        <f>0.000000004903*(((원데이터!B122+273.16)^4+(원데이터!C122+273.16)^4)/2)*(0.34-0.14*SQRT(G122))*(1.35*MIN(Q122/P122,1)-0.35)</f>
        <v/>
      </c>
      <c r="T122" s="18">
        <f>R122-S122</f>
        <v/>
      </c>
      <c r="U122" s="18">
        <f>(0.408*H122*T122+J122*(900/(C122+273))*K122*(F122-G122))/(H122+J122*(1+0.34*K122))</f>
        <v/>
      </c>
      <c r="V122" s="11">
        <f>IF(원데이터!A122-설정!$B$16&lt;0,"발아전",IF(원데이터!A122-설정!$B$16&lt;설정!$B$17,"초기",IF(원데이터!A122-설정!$B$16&lt;설정!$B$17+설정!$B$18,"발육",IF(원데이터!A122-설정!$B$16&lt;설정!$B$17+설정!$B$18+설정!$B$19,"중기",IF(원데이터!A122-설정!$B$16&lt;설정!$B$17+설정!$B$18+설정!$B$19+설정!$B$20,"후기","후기이후")))))</f>
        <v/>
      </c>
      <c r="W122" s="12">
        <f>IF(원데이터!A122-설정!$B$16&lt;0,0,IF(원데이터!A122-설정!$B$16&lt;설정!$B$17,설정!$B$33,IF(원데이터!A122-설정!$B$16&lt;설정!$B$17+설정!$B$18,설정!$B$33+(설정!$B$34-설정!$B$33)*(원데이터!A122-설정!$B$16-설정!$B$17+1)/설정!$B$18,IF(원데이터!A122-설정!$B$16&lt;설정!$B$17+설정!$B$18+설정!$B$19,설정!$B$34,IF(원데이터!A122-설정!$B$16&lt;설정!$B$17+설정!$B$18+설정!$B$19+설정!$B$20,설정!$B$34+(설정!$B$35-설정!$B$34)*(원데이터!A122-설정!$B$16-설정!$B$17-설정!$B$18-설정!$B$19+1)/설정!$B$20,0)))))</f>
        <v/>
      </c>
      <c r="X122" s="12">
        <f>0.108-0.0286*K122+0.0422*LN(설정!$B$5)+0.1434*LN(원데이터!E122)-0.000631*LN(설정!$B$5)^2*LN(원데이터!E122)</f>
        <v/>
      </c>
      <c r="Y122" s="17">
        <f>원데이터!M122</f>
        <v/>
      </c>
      <c r="Z122" s="18">
        <f>X122*Y122</f>
        <v/>
      </c>
      <c r="AA122" s="18">
        <f>U122*W122</f>
        <v/>
      </c>
      <c r="AB122" s="18">
        <f>Z122*W122</f>
        <v/>
      </c>
    </row>
    <row r="123">
      <c r="A123" s="15">
        <f>원데이터!A123</f>
        <v/>
      </c>
      <c r="B123" s="14">
        <f>원데이터!A123-DATE(YEAR(원데이터!A123),1,1)+1</f>
        <v/>
      </c>
      <c r="C123" s="17">
        <f>(원데이터!B123+원데이터!C123)/2</f>
        <v/>
      </c>
      <c r="D123" s="12">
        <f>0.6108*EXP(17.27*원데이터!B123/(원데이터!B123+237.3))</f>
        <v/>
      </c>
      <c r="E123" s="12">
        <f>0.6108*EXP(17.27*원데이터!C123/(원데이터!C123+237.3))</f>
        <v/>
      </c>
      <c r="F123" s="12">
        <f>(D123+E123)/2</f>
        <v/>
      </c>
      <c r="G123" s="12">
        <f>IF(원데이터!H123&lt;&gt;"",원데이터!H123/10,IF(원데이터!I123&lt;&gt;"",0.6108*EXP(17.27*원데이터!I123/(원데이터!I123+237.3)),원데이터!E123/100*F123))</f>
        <v/>
      </c>
      <c r="H123" s="21">
        <f>4098*(0.6108*EXP(17.27*C123/(C123+237.3)))/(C123+237.3)^2</f>
        <v/>
      </c>
      <c r="I123" s="17">
        <f>IF(원데이터!J123&lt;&gt;"",원데이터!J123/10,101.3*((293-0.0065*설정!$B$3)/293)^5.26)</f>
        <v/>
      </c>
      <c r="J123" s="21">
        <f>0.000665*I123</f>
        <v/>
      </c>
      <c r="K123" s="18">
        <f>원데이터!G123*4.87/LN(67.8*설정!$B$4-5.42)</f>
        <v/>
      </c>
      <c r="L123" s="12">
        <f>1+0.033*COS(2*PI()*B123/365)</f>
        <v/>
      </c>
      <c r="M123" s="21">
        <f>0.409*SIN(2*PI()*B123/365-1.39)</f>
        <v/>
      </c>
      <c r="N123" s="21">
        <f>ACOS(-TAN(RADIANS(설정!$B$2))*TAN(M123))</f>
        <v/>
      </c>
      <c r="O123" s="18">
        <f>(24*60/PI())*0.082*L123*(N123*SIN(RADIANS(설정!$B$2))*SIN(M123)+COS(RADIANS(설정!$B$2))*COS(M123)*SIN(N123))</f>
        <v/>
      </c>
      <c r="P123" s="18">
        <f>(0.75+0.00002*설정!$B$3)*O123</f>
        <v/>
      </c>
      <c r="Q123" s="18">
        <f>IF(원데이터!K123&lt;&gt;"",원데이터!K123,(0.25+0.5*원데이터!L123/(24/PI()*N123))*O123)</f>
        <v/>
      </c>
      <c r="R123" s="18">
        <f>0.77*Q123</f>
        <v/>
      </c>
      <c r="S123" s="18">
        <f>0.000000004903*(((원데이터!B123+273.16)^4+(원데이터!C123+273.16)^4)/2)*(0.34-0.14*SQRT(G123))*(1.35*MIN(Q123/P123,1)-0.35)</f>
        <v/>
      </c>
      <c r="T123" s="18">
        <f>R123-S123</f>
        <v/>
      </c>
      <c r="U123" s="18">
        <f>(0.408*H123*T123+J123*(900/(C123+273))*K123*(F123-G123))/(H123+J123*(1+0.34*K123))</f>
        <v/>
      </c>
      <c r="V123" s="11">
        <f>IF(원데이터!A123-설정!$B$16&lt;0,"발아전",IF(원데이터!A123-설정!$B$16&lt;설정!$B$17,"초기",IF(원데이터!A123-설정!$B$16&lt;설정!$B$17+설정!$B$18,"발육",IF(원데이터!A123-설정!$B$16&lt;설정!$B$17+설정!$B$18+설정!$B$19,"중기",IF(원데이터!A123-설정!$B$16&lt;설정!$B$17+설정!$B$18+설정!$B$19+설정!$B$20,"후기","후기이후")))))</f>
        <v/>
      </c>
      <c r="W123" s="12">
        <f>IF(원데이터!A123-설정!$B$16&lt;0,0,IF(원데이터!A123-설정!$B$16&lt;설정!$B$17,설정!$B$33,IF(원데이터!A123-설정!$B$16&lt;설정!$B$17+설정!$B$18,설정!$B$33+(설정!$B$34-설정!$B$33)*(원데이터!A123-설정!$B$16-설정!$B$17+1)/설정!$B$18,IF(원데이터!A123-설정!$B$16&lt;설정!$B$17+설정!$B$18+설정!$B$19,설정!$B$34,IF(원데이터!A123-설정!$B$16&lt;설정!$B$17+설정!$B$18+설정!$B$19+설정!$B$20,설정!$B$34+(설정!$B$35-설정!$B$34)*(원데이터!A123-설정!$B$16-설정!$B$17-설정!$B$18-설정!$B$19+1)/설정!$B$20,0)))))</f>
        <v/>
      </c>
      <c r="X123" s="12">
        <f>0.108-0.0286*K123+0.0422*LN(설정!$B$5)+0.1434*LN(원데이터!E123)-0.000631*LN(설정!$B$5)^2*LN(원데이터!E123)</f>
        <v/>
      </c>
      <c r="Y123" s="17">
        <f>원데이터!M123</f>
        <v/>
      </c>
      <c r="Z123" s="18">
        <f>X123*Y123</f>
        <v/>
      </c>
      <c r="AA123" s="18">
        <f>U123*W123</f>
        <v/>
      </c>
      <c r="AB123" s="18">
        <f>Z123*W123</f>
        <v/>
      </c>
    </row>
    <row r="124">
      <c r="A124" s="15">
        <f>원데이터!A124</f>
        <v/>
      </c>
      <c r="B124" s="14">
        <f>원데이터!A124-DATE(YEAR(원데이터!A124),1,1)+1</f>
        <v/>
      </c>
      <c r="C124" s="17">
        <f>(원데이터!B124+원데이터!C124)/2</f>
        <v/>
      </c>
      <c r="D124" s="12">
        <f>0.6108*EXP(17.27*원데이터!B124/(원데이터!B124+237.3))</f>
        <v/>
      </c>
      <c r="E124" s="12">
        <f>0.6108*EXP(17.27*원데이터!C124/(원데이터!C124+237.3))</f>
        <v/>
      </c>
      <c r="F124" s="12">
        <f>(D124+E124)/2</f>
        <v/>
      </c>
      <c r="G124" s="12">
        <f>IF(원데이터!H124&lt;&gt;"",원데이터!H124/10,IF(원데이터!I124&lt;&gt;"",0.6108*EXP(17.27*원데이터!I124/(원데이터!I124+237.3)),원데이터!E124/100*F124))</f>
        <v/>
      </c>
      <c r="H124" s="21">
        <f>4098*(0.6108*EXP(17.27*C124/(C124+237.3)))/(C124+237.3)^2</f>
        <v/>
      </c>
      <c r="I124" s="17">
        <f>IF(원데이터!J124&lt;&gt;"",원데이터!J124/10,101.3*((293-0.0065*설정!$B$3)/293)^5.26)</f>
        <v/>
      </c>
      <c r="J124" s="21">
        <f>0.000665*I124</f>
        <v/>
      </c>
      <c r="K124" s="18">
        <f>원데이터!G124*4.87/LN(67.8*설정!$B$4-5.42)</f>
        <v/>
      </c>
      <c r="L124" s="12">
        <f>1+0.033*COS(2*PI()*B124/365)</f>
        <v/>
      </c>
      <c r="M124" s="21">
        <f>0.409*SIN(2*PI()*B124/365-1.39)</f>
        <v/>
      </c>
      <c r="N124" s="21">
        <f>ACOS(-TAN(RADIANS(설정!$B$2))*TAN(M124))</f>
        <v/>
      </c>
      <c r="O124" s="18">
        <f>(24*60/PI())*0.082*L124*(N124*SIN(RADIANS(설정!$B$2))*SIN(M124)+COS(RADIANS(설정!$B$2))*COS(M124)*SIN(N124))</f>
        <v/>
      </c>
      <c r="P124" s="18">
        <f>(0.75+0.00002*설정!$B$3)*O124</f>
        <v/>
      </c>
      <c r="Q124" s="18">
        <f>IF(원데이터!K124&lt;&gt;"",원데이터!K124,(0.25+0.5*원데이터!L124/(24/PI()*N124))*O124)</f>
        <v/>
      </c>
      <c r="R124" s="18">
        <f>0.77*Q124</f>
        <v/>
      </c>
      <c r="S124" s="18">
        <f>0.000000004903*(((원데이터!B124+273.16)^4+(원데이터!C124+273.16)^4)/2)*(0.34-0.14*SQRT(G124))*(1.35*MIN(Q124/P124,1)-0.35)</f>
        <v/>
      </c>
      <c r="T124" s="18">
        <f>R124-S124</f>
        <v/>
      </c>
      <c r="U124" s="18">
        <f>(0.408*H124*T124+J124*(900/(C124+273))*K124*(F124-G124))/(H124+J124*(1+0.34*K124))</f>
        <v/>
      </c>
      <c r="V124" s="11">
        <f>IF(원데이터!A124-설정!$B$16&lt;0,"발아전",IF(원데이터!A124-설정!$B$16&lt;설정!$B$17,"초기",IF(원데이터!A124-설정!$B$16&lt;설정!$B$17+설정!$B$18,"발육",IF(원데이터!A124-설정!$B$16&lt;설정!$B$17+설정!$B$18+설정!$B$19,"중기",IF(원데이터!A124-설정!$B$16&lt;설정!$B$17+설정!$B$18+설정!$B$19+설정!$B$20,"후기","후기이후")))))</f>
        <v/>
      </c>
      <c r="W124" s="12">
        <f>IF(원데이터!A124-설정!$B$16&lt;0,0,IF(원데이터!A124-설정!$B$16&lt;설정!$B$17,설정!$B$33,IF(원데이터!A124-설정!$B$16&lt;설정!$B$17+설정!$B$18,설정!$B$33+(설정!$B$34-설정!$B$33)*(원데이터!A124-설정!$B$16-설정!$B$17+1)/설정!$B$18,IF(원데이터!A124-설정!$B$16&lt;설정!$B$17+설정!$B$18+설정!$B$19,설정!$B$34,IF(원데이터!A124-설정!$B$16&lt;설정!$B$17+설정!$B$18+설정!$B$19+설정!$B$20,설정!$B$34+(설정!$B$35-설정!$B$34)*(원데이터!A124-설정!$B$16-설정!$B$17-설정!$B$18-설정!$B$19+1)/설정!$B$20,0)))))</f>
        <v/>
      </c>
      <c r="X124" s="12">
        <f>0.108-0.0286*K124+0.0422*LN(설정!$B$5)+0.1434*LN(원데이터!E124)-0.000631*LN(설정!$B$5)^2*LN(원데이터!E124)</f>
        <v/>
      </c>
      <c r="Y124" s="17">
        <f>원데이터!M124</f>
        <v/>
      </c>
      <c r="Z124" s="18">
        <f>X124*Y124</f>
        <v/>
      </c>
      <c r="AA124" s="18">
        <f>U124*W124</f>
        <v/>
      </c>
      <c r="AB124" s="18">
        <f>Z124*W124</f>
        <v/>
      </c>
    </row>
    <row r="125">
      <c r="A125" s="15">
        <f>원데이터!A125</f>
        <v/>
      </c>
      <c r="B125" s="14">
        <f>원데이터!A125-DATE(YEAR(원데이터!A125),1,1)+1</f>
        <v/>
      </c>
      <c r="C125" s="17">
        <f>(원데이터!B125+원데이터!C125)/2</f>
        <v/>
      </c>
      <c r="D125" s="12">
        <f>0.6108*EXP(17.27*원데이터!B125/(원데이터!B125+237.3))</f>
        <v/>
      </c>
      <c r="E125" s="12">
        <f>0.6108*EXP(17.27*원데이터!C125/(원데이터!C125+237.3))</f>
        <v/>
      </c>
      <c r="F125" s="12">
        <f>(D125+E125)/2</f>
        <v/>
      </c>
      <c r="G125" s="12">
        <f>IF(원데이터!H125&lt;&gt;"",원데이터!H125/10,IF(원데이터!I125&lt;&gt;"",0.6108*EXP(17.27*원데이터!I125/(원데이터!I125+237.3)),원데이터!E125/100*F125))</f>
        <v/>
      </c>
      <c r="H125" s="21">
        <f>4098*(0.6108*EXP(17.27*C125/(C125+237.3)))/(C125+237.3)^2</f>
        <v/>
      </c>
      <c r="I125" s="17">
        <f>IF(원데이터!J125&lt;&gt;"",원데이터!J125/10,101.3*((293-0.0065*설정!$B$3)/293)^5.26)</f>
        <v/>
      </c>
      <c r="J125" s="21">
        <f>0.000665*I125</f>
        <v/>
      </c>
      <c r="K125" s="18">
        <f>원데이터!G125*4.87/LN(67.8*설정!$B$4-5.42)</f>
        <v/>
      </c>
      <c r="L125" s="12">
        <f>1+0.033*COS(2*PI()*B125/365)</f>
        <v/>
      </c>
      <c r="M125" s="21">
        <f>0.409*SIN(2*PI()*B125/365-1.39)</f>
        <v/>
      </c>
      <c r="N125" s="21">
        <f>ACOS(-TAN(RADIANS(설정!$B$2))*TAN(M125))</f>
        <v/>
      </c>
      <c r="O125" s="18">
        <f>(24*60/PI())*0.082*L125*(N125*SIN(RADIANS(설정!$B$2))*SIN(M125)+COS(RADIANS(설정!$B$2))*COS(M125)*SIN(N125))</f>
        <v/>
      </c>
      <c r="P125" s="18">
        <f>(0.75+0.00002*설정!$B$3)*O125</f>
        <v/>
      </c>
      <c r="Q125" s="18">
        <f>IF(원데이터!K125&lt;&gt;"",원데이터!K125,(0.25+0.5*원데이터!L125/(24/PI()*N125))*O125)</f>
        <v/>
      </c>
      <c r="R125" s="18">
        <f>0.77*Q125</f>
        <v/>
      </c>
      <c r="S125" s="18">
        <f>0.000000004903*(((원데이터!B125+273.16)^4+(원데이터!C125+273.16)^4)/2)*(0.34-0.14*SQRT(G125))*(1.35*MIN(Q125/P125,1)-0.35)</f>
        <v/>
      </c>
      <c r="T125" s="18">
        <f>R125-S125</f>
        <v/>
      </c>
      <c r="U125" s="18">
        <f>(0.408*H125*T125+J125*(900/(C125+273))*K125*(F125-G125))/(H125+J125*(1+0.34*K125))</f>
        <v/>
      </c>
      <c r="V125" s="11">
        <f>IF(원데이터!A125-설정!$B$16&lt;0,"발아전",IF(원데이터!A125-설정!$B$16&lt;설정!$B$17,"초기",IF(원데이터!A125-설정!$B$16&lt;설정!$B$17+설정!$B$18,"발육",IF(원데이터!A125-설정!$B$16&lt;설정!$B$17+설정!$B$18+설정!$B$19,"중기",IF(원데이터!A125-설정!$B$16&lt;설정!$B$17+설정!$B$18+설정!$B$19+설정!$B$20,"후기","후기이후")))))</f>
        <v/>
      </c>
      <c r="W125" s="12">
        <f>IF(원데이터!A125-설정!$B$16&lt;0,0,IF(원데이터!A125-설정!$B$16&lt;설정!$B$17,설정!$B$33,IF(원데이터!A125-설정!$B$16&lt;설정!$B$17+설정!$B$18,설정!$B$33+(설정!$B$34-설정!$B$33)*(원데이터!A125-설정!$B$16-설정!$B$17+1)/설정!$B$18,IF(원데이터!A125-설정!$B$16&lt;설정!$B$17+설정!$B$18+설정!$B$19,설정!$B$34,IF(원데이터!A125-설정!$B$16&lt;설정!$B$17+설정!$B$18+설정!$B$19+설정!$B$20,설정!$B$34+(설정!$B$35-설정!$B$34)*(원데이터!A125-설정!$B$16-설정!$B$17-설정!$B$18-설정!$B$19+1)/설정!$B$20,0)))))</f>
        <v/>
      </c>
      <c r="X125" s="12">
        <f>0.108-0.0286*K125+0.0422*LN(설정!$B$5)+0.1434*LN(원데이터!E125)-0.000631*LN(설정!$B$5)^2*LN(원데이터!E125)</f>
        <v/>
      </c>
      <c r="Y125" s="17">
        <f>원데이터!M125</f>
        <v/>
      </c>
      <c r="Z125" s="18">
        <f>X125*Y125</f>
        <v/>
      </c>
      <c r="AA125" s="18">
        <f>U125*W125</f>
        <v/>
      </c>
      <c r="AB125" s="18">
        <f>Z125*W125</f>
        <v/>
      </c>
    </row>
    <row r="126">
      <c r="A126" s="15">
        <f>원데이터!A126</f>
        <v/>
      </c>
      <c r="B126" s="14">
        <f>원데이터!A126-DATE(YEAR(원데이터!A126),1,1)+1</f>
        <v/>
      </c>
      <c r="C126" s="17">
        <f>(원데이터!B126+원데이터!C126)/2</f>
        <v/>
      </c>
      <c r="D126" s="12">
        <f>0.6108*EXP(17.27*원데이터!B126/(원데이터!B126+237.3))</f>
        <v/>
      </c>
      <c r="E126" s="12">
        <f>0.6108*EXP(17.27*원데이터!C126/(원데이터!C126+237.3))</f>
        <v/>
      </c>
      <c r="F126" s="12">
        <f>(D126+E126)/2</f>
        <v/>
      </c>
      <c r="G126" s="12">
        <f>IF(원데이터!H126&lt;&gt;"",원데이터!H126/10,IF(원데이터!I126&lt;&gt;"",0.6108*EXP(17.27*원데이터!I126/(원데이터!I126+237.3)),원데이터!E126/100*F126))</f>
        <v/>
      </c>
      <c r="H126" s="21">
        <f>4098*(0.6108*EXP(17.27*C126/(C126+237.3)))/(C126+237.3)^2</f>
        <v/>
      </c>
      <c r="I126" s="17">
        <f>IF(원데이터!J126&lt;&gt;"",원데이터!J126/10,101.3*((293-0.0065*설정!$B$3)/293)^5.26)</f>
        <v/>
      </c>
      <c r="J126" s="21">
        <f>0.000665*I126</f>
        <v/>
      </c>
      <c r="K126" s="18">
        <f>원데이터!G126*4.87/LN(67.8*설정!$B$4-5.42)</f>
        <v/>
      </c>
      <c r="L126" s="12">
        <f>1+0.033*COS(2*PI()*B126/365)</f>
        <v/>
      </c>
      <c r="M126" s="21">
        <f>0.409*SIN(2*PI()*B126/365-1.39)</f>
        <v/>
      </c>
      <c r="N126" s="21">
        <f>ACOS(-TAN(RADIANS(설정!$B$2))*TAN(M126))</f>
        <v/>
      </c>
      <c r="O126" s="18">
        <f>(24*60/PI())*0.082*L126*(N126*SIN(RADIANS(설정!$B$2))*SIN(M126)+COS(RADIANS(설정!$B$2))*COS(M126)*SIN(N126))</f>
        <v/>
      </c>
      <c r="P126" s="18">
        <f>(0.75+0.00002*설정!$B$3)*O126</f>
        <v/>
      </c>
      <c r="Q126" s="18">
        <f>IF(원데이터!K126&lt;&gt;"",원데이터!K126,(0.25+0.5*원데이터!L126/(24/PI()*N126))*O126)</f>
        <v/>
      </c>
      <c r="R126" s="18">
        <f>0.77*Q126</f>
        <v/>
      </c>
      <c r="S126" s="18">
        <f>0.000000004903*(((원데이터!B126+273.16)^4+(원데이터!C126+273.16)^4)/2)*(0.34-0.14*SQRT(G126))*(1.35*MIN(Q126/P126,1)-0.35)</f>
        <v/>
      </c>
      <c r="T126" s="18">
        <f>R126-S126</f>
        <v/>
      </c>
      <c r="U126" s="18">
        <f>(0.408*H126*T126+J126*(900/(C126+273))*K126*(F126-G126))/(H126+J126*(1+0.34*K126))</f>
        <v/>
      </c>
      <c r="V126" s="11">
        <f>IF(원데이터!A126-설정!$B$16&lt;0,"발아전",IF(원데이터!A126-설정!$B$16&lt;설정!$B$17,"초기",IF(원데이터!A126-설정!$B$16&lt;설정!$B$17+설정!$B$18,"발육",IF(원데이터!A126-설정!$B$16&lt;설정!$B$17+설정!$B$18+설정!$B$19,"중기",IF(원데이터!A126-설정!$B$16&lt;설정!$B$17+설정!$B$18+설정!$B$19+설정!$B$20,"후기","후기이후")))))</f>
        <v/>
      </c>
      <c r="W126" s="12">
        <f>IF(원데이터!A126-설정!$B$16&lt;0,0,IF(원데이터!A126-설정!$B$16&lt;설정!$B$17,설정!$B$33,IF(원데이터!A126-설정!$B$16&lt;설정!$B$17+설정!$B$18,설정!$B$33+(설정!$B$34-설정!$B$33)*(원데이터!A126-설정!$B$16-설정!$B$17+1)/설정!$B$18,IF(원데이터!A126-설정!$B$16&lt;설정!$B$17+설정!$B$18+설정!$B$19,설정!$B$34,IF(원데이터!A126-설정!$B$16&lt;설정!$B$17+설정!$B$18+설정!$B$19+설정!$B$20,설정!$B$34+(설정!$B$35-설정!$B$34)*(원데이터!A126-설정!$B$16-설정!$B$17-설정!$B$18-설정!$B$19+1)/설정!$B$20,0)))))</f>
        <v/>
      </c>
      <c r="X126" s="12">
        <f>0.108-0.0286*K126+0.0422*LN(설정!$B$5)+0.1434*LN(원데이터!E126)-0.000631*LN(설정!$B$5)^2*LN(원데이터!E126)</f>
        <v/>
      </c>
      <c r="Y126" s="17">
        <f>원데이터!M126</f>
        <v/>
      </c>
      <c r="Z126" s="18">
        <f>X126*Y126</f>
        <v/>
      </c>
      <c r="AA126" s="18">
        <f>U126*W126</f>
        <v/>
      </c>
      <c r="AB126" s="18">
        <f>Z126*W126</f>
        <v/>
      </c>
    </row>
    <row r="127">
      <c r="A127" s="15">
        <f>원데이터!A127</f>
        <v/>
      </c>
      <c r="B127" s="14">
        <f>원데이터!A127-DATE(YEAR(원데이터!A127),1,1)+1</f>
        <v/>
      </c>
      <c r="C127" s="17">
        <f>(원데이터!B127+원데이터!C127)/2</f>
        <v/>
      </c>
      <c r="D127" s="12">
        <f>0.6108*EXP(17.27*원데이터!B127/(원데이터!B127+237.3))</f>
        <v/>
      </c>
      <c r="E127" s="12">
        <f>0.6108*EXP(17.27*원데이터!C127/(원데이터!C127+237.3))</f>
        <v/>
      </c>
      <c r="F127" s="12">
        <f>(D127+E127)/2</f>
        <v/>
      </c>
      <c r="G127" s="12">
        <f>IF(원데이터!H127&lt;&gt;"",원데이터!H127/10,IF(원데이터!I127&lt;&gt;"",0.6108*EXP(17.27*원데이터!I127/(원데이터!I127+237.3)),원데이터!E127/100*F127))</f>
        <v/>
      </c>
      <c r="H127" s="21">
        <f>4098*(0.6108*EXP(17.27*C127/(C127+237.3)))/(C127+237.3)^2</f>
        <v/>
      </c>
      <c r="I127" s="17">
        <f>IF(원데이터!J127&lt;&gt;"",원데이터!J127/10,101.3*((293-0.0065*설정!$B$3)/293)^5.26)</f>
        <v/>
      </c>
      <c r="J127" s="21">
        <f>0.000665*I127</f>
        <v/>
      </c>
      <c r="K127" s="18">
        <f>원데이터!G127*4.87/LN(67.8*설정!$B$4-5.42)</f>
        <v/>
      </c>
      <c r="L127" s="12">
        <f>1+0.033*COS(2*PI()*B127/365)</f>
        <v/>
      </c>
      <c r="M127" s="21">
        <f>0.409*SIN(2*PI()*B127/365-1.39)</f>
        <v/>
      </c>
      <c r="N127" s="21">
        <f>ACOS(-TAN(RADIANS(설정!$B$2))*TAN(M127))</f>
        <v/>
      </c>
      <c r="O127" s="18">
        <f>(24*60/PI())*0.082*L127*(N127*SIN(RADIANS(설정!$B$2))*SIN(M127)+COS(RADIANS(설정!$B$2))*COS(M127)*SIN(N127))</f>
        <v/>
      </c>
      <c r="P127" s="18">
        <f>(0.75+0.00002*설정!$B$3)*O127</f>
        <v/>
      </c>
      <c r="Q127" s="18">
        <f>IF(원데이터!K127&lt;&gt;"",원데이터!K127,(0.25+0.5*원데이터!L127/(24/PI()*N127))*O127)</f>
        <v/>
      </c>
      <c r="R127" s="18">
        <f>0.77*Q127</f>
        <v/>
      </c>
      <c r="S127" s="18">
        <f>0.000000004903*(((원데이터!B127+273.16)^4+(원데이터!C127+273.16)^4)/2)*(0.34-0.14*SQRT(G127))*(1.35*MIN(Q127/P127,1)-0.35)</f>
        <v/>
      </c>
      <c r="T127" s="18">
        <f>R127-S127</f>
        <v/>
      </c>
      <c r="U127" s="18">
        <f>(0.408*H127*T127+J127*(900/(C127+273))*K127*(F127-G127))/(H127+J127*(1+0.34*K127))</f>
        <v/>
      </c>
      <c r="V127" s="11">
        <f>IF(원데이터!A127-설정!$B$16&lt;0,"발아전",IF(원데이터!A127-설정!$B$16&lt;설정!$B$17,"초기",IF(원데이터!A127-설정!$B$16&lt;설정!$B$17+설정!$B$18,"발육",IF(원데이터!A127-설정!$B$16&lt;설정!$B$17+설정!$B$18+설정!$B$19,"중기",IF(원데이터!A127-설정!$B$16&lt;설정!$B$17+설정!$B$18+설정!$B$19+설정!$B$20,"후기","후기이후")))))</f>
        <v/>
      </c>
      <c r="W127" s="12">
        <f>IF(원데이터!A127-설정!$B$16&lt;0,0,IF(원데이터!A127-설정!$B$16&lt;설정!$B$17,설정!$B$33,IF(원데이터!A127-설정!$B$16&lt;설정!$B$17+설정!$B$18,설정!$B$33+(설정!$B$34-설정!$B$33)*(원데이터!A127-설정!$B$16-설정!$B$17+1)/설정!$B$18,IF(원데이터!A127-설정!$B$16&lt;설정!$B$17+설정!$B$18+설정!$B$19,설정!$B$34,IF(원데이터!A127-설정!$B$16&lt;설정!$B$17+설정!$B$18+설정!$B$19+설정!$B$20,설정!$B$34+(설정!$B$35-설정!$B$34)*(원데이터!A127-설정!$B$16-설정!$B$17-설정!$B$18-설정!$B$19+1)/설정!$B$20,0)))))</f>
        <v/>
      </c>
      <c r="X127" s="12">
        <f>0.108-0.0286*K127+0.0422*LN(설정!$B$5)+0.1434*LN(원데이터!E127)-0.000631*LN(설정!$B$5)^2*LN(원데이터!E127)</f>
        <v/>
      </c>
      <c r="Y127" s="17">
        <f>원데이터!M127</f>
        <v/>
      </c>
      <c r="Z127" s="18">
        <f>X127*Y127</f>
        <v/>
      </c>
      <c r="AA127" s="18">
        <f>U127*W127</f>
        <v/>
      </c>
      <c r="AB127" s="18">
        <f>Z127*W127</f>
        <v/>
      </c>
    </row>
    <row r="128">
      <c r="A128" s="15">
        <f>원데이터!A128</f>
        <v/>
      </c>
      <c r="B128" s="14">
        <f>원데이터!A128-DATE(YEAR(원데이터!A128),1,1)+1</f>
        <v/>
      </c>
      <c r="C128" s="17">
        <f>(원데이터!B128+원데이터!C128)/2</f>
        <v/>
      </c>
      <c r="D128" s="12">
        <f>0.6108*EXP(17.27*원데이터!B128/(원데이터!B128+237.3))</f>
        <v/>
      </c>
      <c r="E128" s="12">
        <f>0.6108*EXP(17.27*원데이터!C128/(원데이터!C128+237.3))</f>
        <v/>
      </c>
      <c r="F128" s="12">
        <f>(D128+E128)/2</f>
        <v/>
      </c>
      <c r="G128" s="12">
        <f>IF(원데이터!H128&lt;&gt;"",원데이터!H128/10,IF(원데이터!I128&lt;&gt;"",0.6108*EXP(17.27*원데이터!I128/(원데이터!I128+237.3)),원데이터!E128/100*F128))</f>
        <v/>
      </c>
      <c r="H128" s="21">
        <f>4098*(0.6108*EXP(17.27*C128/(C128+237.3)))/(C128+237.3)^2</f>
        <v/>
      </c>
      <c r="I128" s="17">
        <f>IF(원데이터!J128&lt;&gt;"",원데이터!J128/10,101.3*((293-0.0065*설정!$B$3)/293)^5.26)</f>
        <v/>
      </c>
      <c r="J128" s="21">
        <f>0.000665*I128</f>
        <v/>
      </c>
      <c r="K128" s="18">
        <f>원데이터!G128*4.87/LN(67.8*설정!$B$4-5.42)</f>
        <v/>
      </c>
      <c r="L128" s="12">
        <f>1+0.033*COS(2*PI()*B128/365)</f>
        <v/>
      </c>
      <c r="M128" s="21">
        <f>0.409*SIN(2*PI()*B128/365-1.39)</f>
        <v/>
      </c>
      <c r="N128" s="21">
        <f>ACOS(-TAN(RADIANS(설정!$B$2))*TAN(M128))</f>
        <v/>
      </c>
      <c r="O128" s="18">
        <f>(24*60/PI())*0.082*L128*(N128*SIN(RADIANS(설정!$B$2))*SIN(M128)+COS(RADIANS(설정!$B$2))*COS(M128)*SIN(N128))</f>
        <v/>
      </c>
      <c r="P128" s="18">
        <f>(0.75+0.00002*설정!$B$3)*O128</f>
        <v/>
      </c>
      <c r="Q128" s="18">
        <f>IF(원데이터!K128&lt;&gt;"",원데이터!K128,(0.25+0.5*원데이터!L128/(24/PI()*N128))*O128)</f>
        <v/>
      </c>
      <c r="R128" s="18">
        <f>0.77*Q128</f>
        <v/>
      </c>
      <c r="S128" s="18">
        <f>0.000000004903*(((원데이터!B128+273.16)^4+(원데이터!C128+273.16)^4)/2)*(0.34-0.14*SQRT(G128))*(1.35*MIN(Q128/P128,1)-0.35)</f>
        <v/>
      </c>
      <c r="T128" s="18">
        <f>R128-S128</f>
        <v/>
      </c>
      <c r="U128" s="18">
        <f>(0.408*H128*T128+J128*(900/(C128+273))*K128*(F128-G128))/(H128+J128*(1+0.34*K128))</f>
        <v/>
      </c>
      <c r="V128" s="11">
        <f>IF(원데이터!A128-설정!$B$16&lt;0,"발아전",IF(원데이터!A128-설정!$B$16&lt;설정!$B$17,"초기",IF(원데이터!A128-설정!$B$16&lt;설정!$B$17+설정!$B$18,"발육",IF(원데이터!A128-설정!$B$16&lt;설정!$B$17+설정!$B$18+설정!$B$19,"중기",IF(원데이터!A128-설정!$B$16&lt;설정!$B$17+설정!$B$18+설정!$B$19+설정!$B$20,"후기","후기이후")))))</f>
        <v/>
      </c>
      <c r="W128" s="12">
        <f>IF(원데이터!A128-설정!$B$16&lt;0,0,IF(원데이터!A128-설정!$B$16&lt;설정!$B$17,설정!$B$33,IF(원데이터!A128-설정!$B$16&lt;설정!$B$17+설정!$B$18,설정!$B$33+(설정!$B$34-설정!$B$33)*(원데이터!A128-설정!$B$16-설정!$B$17+1)/설정!$B$18,IF(원데이터!A128-설정!$B$16&lt;설정!$B$17+설정!$B$18+설정!$B$19,설정!$B$34,IF(원데이터!A128-설정!$B$16&lt;설정!$B$17+설정!$B$18+설정!$B$19+설정!$B$20,설정!$B$34+(설정!$B$35-설정!$B$34)*(원데이터!A128-설정!$B$16-설정!$B$17-설정!$B$18-설정!$B$19+1)/설정!$B$20,0)))))</f>
        <v/>
      </c>
      <c r="X128" s="12">
        <f>0.108-0.0286*K128+0.0422*LN(설정!$B$5)+0.1434*LN(원데이터!E128)-0.000631*LN(설정!$B$5)^2*LN(원데이터!E128)</f>
        <v/>
      </c>
      <c r="Y128" s="17">
        <f>원데이터!M128</f>
        <v/>
      </c>
      <c r="Z128" s="18">
        <f>X128*Y128</f>
        <v/>
      </c>
      <c r="AA128" s="18">
        <f>U128*W128</f>
        <v/>
      </c>
      <c r="AB128" s="18">
        <f>Z128*W128</f>
        <v/>
      </c>
    </row>
    <row r="129">
      <c r="A129" s="15">
        <f>원데이터!A129</f>
        <v/>
      </c>
      <c r="B129" s="14">
        <f>원데이터!A129-DATE(YEAR(원데이터!A129),1,1)+1</f>
        <v/>
      </c>
      <c r="C129" s="17">
        <f>(원데이터!B129+원데이터!C129)/2</f>
        <v/>
      </c>
      <c r="D129" s="12">
        <f>0.6108*EXP(17.27*원데이터!B129/(원데이터!B129+237.3))</f>
        <v/>
      </c>
      <c r="E129" s="12">
        <f>0.6108*EXP(17.27*원데이터!C129/(원데이터!C129+237.3))</f>
        <v/>
      </c>
      <c r="F129" s="12">
        <f>(D129+E129)/2</f>
        <v/>
      </c>
      <c r="G129" s="12">
        <f>IF(원데이터!H129&lt;&gt;"",원데이터!H129/10,IF(원데이터!I129&lt;&gt;"",0.6108*EXP(17.27*원데이터!I129/(원데이터!I129+237.3)),원데이터!E129/100*F129))</f>
        <v/>
      </c>
      <c r="H129" s="21">
        <f>4098*(0.6108*EXP(17.27*C129/(C129+237.3)))/(C129+237.3)^2</f>
        <v/>
      </c>
      <c r="I129" s="17">
        <f>IF(원데이터!J129&lt;&gt;"",원데이터!J129/10,101.3*((293-0.0065*설정!$B$3)/293)^5.26)</f>
        <v/>
      </c>
      <c r="J129" s="21">
        <f>0.000665*I129</f>
        <v/>
      </c>
      <c r="K129" s="18">
        <f>원데이터!G129*4.87/LN(67.8*설정!$B$4-5.42)</f>
        <v/>
      </c>
      <c r="L129" s="12">
        <f>1+0.033*COS(2*PI()*B129/365)</f>
        <v/>
      </c>
      <c r="M129" s="21">
        <f>0.409*SIN(2*PI()*B129/365-1.39)</f>
        <v/>
      </c>
      <c r="N129" s="21">
        <f>ACOS(-TAN(RADIANS(설정!$B$2))*TAN(M129))</f>
        <v/>
      </c>
      <c r="O129" s="18">
        <f>(24*60/PI())*0.082*L129*(N129*SIN(RADIANS(설정!$B$2))*SIN(M129)+COS(RADIANS(설정!$B$2))*COS(M129)*SIN(N129))</f>
        <v/>
      </c>
      <c r="P129" s="18">
        <f>(0.75+0.00002*설정!$B$3)*O129</f>
        <v/>
      </c>
      <c r="Q129" s="18">
        <f>IF(원데이터!K129&lt;&gt;"",원데이터!K129,(0.25+0.5*원데이터!L129/(24/PI()*N129))*O129)</f>
        <v/>
      </c>
      <c r="R129" s="18">
        <f>0.77*Q129</f>
        <v/>
      </c>
      <c r="S129" s="18">
        <f>0.000000004903*(((원데이터!B129+273.16)^4+(원데이터!C129+273.16)^4)/2)*(0.34-0.14*SQRT(G129))*(1.35*MIN(Q129/P129,1)-0.35)</f>
        <v/>
      </c>
      <c r="T129" s="18">
        <f>R129-S129</f>
        <v/>
      </c>
      <c r="U129" s="18">
        <f>(0.408*H129*T129+J129*(900/(C129+273))*K129*(F129-G129))/(H129+J129*(1+0.34*K129))</f>
        <v/>
      </c>
      <c r="V129" s="11">
        <f>IF(원데이터!A129-설정!$B$16&lt;0,"발아전",IF(원데이터!A129-설정!$B$16&lt;설정!$B$17,"초기",IF(원데이터!A129-설정!$B$16&lt;설정!$B$17+설정!$B$18,"발육",IF(원데이터!A129-설정!$B$16&lt;설정!$B$17+설정!$B$18+설정!$B$19,"중기",IF(원데이터!A129-설정!$B$16&lt;설정!$B$17+설정!$B$18+설정!$B$19+설정!$B$20,"후기","후기이후")))))</f>
        <v/>
      </c>
      <c r="W129" s="12">
        <f>IF(원데이터!A129-설정!$B$16&lt;0,0,IF(원데이터!A129-설정!$B$16&lt;설정!$B$17,설정!$B$33,IF(원데이터!A129-설정!$B$16&lt;설정!$B$17+설정!$B$18,설정!$B$33+(설정!$B$34-설정!$B$33)*(원데이터!A129-설정!$B$16-설정!$B$17+1)/설정!$B$18,IF(원데이터!A129-설정!$B$16&lt;설정!$B$17+설정!$B$18+설정!$B$19,설정!$B$34,IF(원데이터!A129-설정!$B$16&lt;설정!$B$17+설정!$B$18+설정!$B$19+설정!$B$20,설정!$B$34+(설정!$B$35-설정!$B$34)*(원데이터!A129-설정!$B$16-설정!$B$17-설정!$B$18-설정!$B$19+1)/설정!$B$20,0)))))</f>
        <v/>
      </c>
      <c r="X129" s="12">
        <f>0.108-0.0286*K129+0.0422*LN(설정!$B$5)+0.1434*LN(원데이터!E129)-0.000631*LN(설정!$B$5)^2*LN(원데이터!E129)</f>
        <v/>
      </c>
      <c r="Y129" s="17">
        <f>원데이터!M129</f>
        <v/>
      </c>
      <c r="Z129" s="18">
        <f>X129*Y129</f>
        <v/>
      </c>
      <c r="AA129" s="18">
        <f>U129*W129</f>
        <v/>
      </c>
      <c r="AB129" s="18">
        <f>Z129*W129</f>
        <v/>
      </c>
    </row>
    <row r="130">
      <c r="A130" s="15">
        <f>원데이터!A130</f>
        <v/>
      </c>
      <c r="B130" s="14">
        <f>원데이터!A130-DATE(YEAR(원데이터!A130),1,1)+1</f>
        <v/>
      </c>
      <c r="C130" s="17">
        <f>(원데이터!B130+원데이터!C130)/2</f>
        <v/>
      </c>
      <c r="D130" s="12">
        <f>0.6108*EXP(17.27*원데이터!B130/(원데이터!B130+237.3))</f>
        <v/>
      </c>
      <c r="E130" s="12">
        <f>0.6108*EXP(17.27*원데이터!C130/(원데이터!C130+237.3))</f>
        <v/>
      </c>
      <c r="F130" s="12">
        <f>(D130+E130)/2</f>
        <v/>
      </c>
      <c r="G130" s="12">
        <f>IF(원데이터!H130&lt;&gt;"",원데이터!H130/10,IF(원데이터!I130&lt;&gt;"",0.6108*EXP(17.27*원데이터!I130/(원데이터!I130+237.3)),원데이터!E130/100*F130))</f>
        <v/>
      </c>
      <c r="H130" s="21">
        <f>4098*(0.6108*EXP(17.27*C130/(C130+237.3)))/(C130+237.3)^2</f>
        <v/>
      </c>
      <c r="I130" s="17">
        <f>IF(원데이터!J130&lt;&gt;"",원데이터!J130/10,101.3*((293-0.0065*설정!$B$3)/293)^5.26)</f>
        <v/>
      </c>
      <c r="J130" s="21">
        <f>0.000665*I130</f>
        <v/>
      </c>
      <c r="K130" s="18">
        <f>원데이터!G130*4.87/LN(67.8*설정!$B$4-5.42)</f>
        <v/>
      </c>
      <c r="L130" s="12">
        <f>1+0.033*COS(2*PI()*B130/365)</f>
        <v/>
      </c>
      <c r="M130" s="21">
        <f>0.409*SIN(2*PI()*B130/365-1.39)</f>
        <v/>
      </c>
      <c r="N130" s="21">
        <f>ACOS(-TAN(RADIANS(설정!$B$2))*TAN(M130))</f>
        <v/>
      </c>
      <c r="O130" s="18">
        <f>(24*60/PI())*0.082*L130*(N130*SIN(RADIANS(설정!$B$2))*SIN(M130)+COS(RADIANS(설정!$B$2))*COS(M130)*SIN(N130))</f>
        <v/>
      </c>
      <c r="P130" s="18">
        <f>(0.75+0.00002*설정!$B$3)*O130</f>
        <v/>
      </c>
      <c r="Q130" s="18">
        <f>IF(원데이터!K130&lt;&gt;"",원데이터!K130,(0.25+0.5*원데이터!L130/(24/PI()*N130))*O130)</f>
        <v/>
      </c>
      <c r="R130" s="18">
        <f>0.77*Q130</f>
        <v/>
      </c>
      <c r="S130" s="18">
        <f>0.000000004903*(((원데이터!B130+273.16)^4+(원데이터!C130+273.16)^4)/2)*(0.34-0.14*SQRT(G130))*(1.35*MIN(Q130/P130,1)-0.35)</f>
        <v/>
      </c>
      <c r="T130" s="18">
        <f>R130-S130</f>
        <v/>
      </c>
      <c r="U130" s="18">
        <f>(0.408*H130*T130+J130*(900/(C130+273))*K130*(F130-G130))/(H130+J130*(1+0.34*K130))</f>
        <v/>
      </c>
      <c r="V130" s="11">
        <f>IF(원데이터!A130-설정!$B$16&lt;0,"발아전",IF(원데이터!A130-설정!$B$16&lt;설정!$B$17,"초기",IF(원데이터!A130-설정!$B$16&lt;설정!$B$17+설정!$B$18,"발육",IF(원데이터!A130-설정!$B$16&lt;설정!$B$17+설정!$B$18+설정!$B$19,"중기",IF(원데이터!A130-설정!$B$16&lt;설정!$B$17+설정!$B$18+설정!$B$19+설정!$B$20,"후기","후기이후")))))</f>
        <v/>
      </c>
      <c r="W130" s="12">
        <f>IF(원데이터!A130-설정!$B$16&lt;0,0,IF(원데이터!A130-설정!$B$16&lt;설정!$B$17,설정!$B$33,IF(원데이터!A130-설정!$B$16&lt;설정!$B$17+설정!$B$18,설정!$B$33+(설정!$B$34-설정!$B$33)*(원데이터!A130-설정!$B$16-설정!$B$17+1)/설정!$B$18,IF(원데이터!A130-설정!$B$16&lt;설정!$B$17+설정!$B$18+설정!$B$19,설정!$B$34,IF(원데이터!A130-설정!$B$16&lt;설정!$B$17+설정!$B$18+설정!$B$19+설정!$B$20,설정!$B$34+(설정!$B$35-설정!$B$34)*(원데이터!A130-설정!$B$16-설정!$B$17-설정!$B$18-설정!$B$19+1)/설정!$B$20,0)))))</f>
        <v/>
      </c>
      <c r="X130" s="12">
        <f>0.108-0.0286*K130+0.0422*LN(설정!$B$5)+0.1434*LN(원데이터!E130)-0.000631*LN(설정!$B$5)^2*LN(원데이터!E130)</f>
        <v/>
      </c>
      <c r="Y130" s="17">
        <f>원데이터!M130</f>
        <v/>
      </c>
      <c r="Z130" s="18">
        <f>X130*Y130</f>
        <v/>
      </c>
      <c r="AA130" s="18">
        <f>U130*W130</f>
        <v/>
      </c>
      <c r="AB130" s="18">
        <f>Z130*W130</f>
        <v/>
      </c>
    </row>
    <row r="131">
      <c r="A131" s="15">
        <f>원데이터!A131</f>
        <v/>
      </c>
      <c r="B131" s="14">
        <f>원데이터!A131-DATE(YEAR(원데이터!A131),1,1)+1</f>
        <v/>
      </c>
      <c r="C131" s="17">
        <f>(원데이터!B131+원데이터!C131)/2</f>
        <v/>
      </c>
      <c r="D131" s="12">
        <f>0.6108*EXP(17.27*원데이터!B131/(원데이터!B131+237.3))</f>
        <v/>
      </c>
      <c r="E131" s="12">
        <f>0.6108*EXP(17.27*원데이터!C131/(원데이터!C131+237.3))</f>
        <v/>
      </c>
      <c r="F131" s="12">
        <f>(D131+E131)/2</f>
        <v/>
      </c>
      <c r="G131" s="12">
        <f>IF(원데이터!H131&lt;&gt;"",원데이터!H131/10,IF(원데이터!I131&lt;&gt;"",0.6108*EXP(17.27*원데이터!I131/(원데이터!I131+237.3)),원데이터!E131/100*F131))</f>
        <v/>
      </c>
      <c r="H131" s="21">
        <f>4098*(0.6108*EXP(17.27*C131/(C131+237.3)))/(C131+237.3)^2</f>
        <v/>
      </c>
      <c r="I131" s="17">
        <f>IF(원데이터!J131&lt;&gt;"",원데이터!J131/10,101.3*((293-0.0065*설정!$B$3)/293)^5.26)</f>
        <v/>
      </c>
      <c r="J131" s="21">
        <f>0.000665*I131</f>
        <v/>
      </c>
      <c r="K131" s="18">
        <f>원데이터!G131*4.87/LN(67.8*설정!$B$4-5.42)</f>
        <v/>
      </c>
      <c r="L131" s="12">
        <f>1+0.033*COS(2*PI()*B131/365)</f>
        <v/>
      </c>
      <c r="M131" s="21">
        <f>0.409*SIN(2*PI()*B131/365-1.39)</f>
        <v/>
      </c>
      <c r="N131" s="21">
        <f>ACOS(-TAN(RADIANS(설정!$B$2))*TAN(M131))</f>
        <v/>
      </c>
      <c r="O131" s="18">
        <f>(24*60/PI())*0.082*L131*(N131*SIN(RADIANS(설정!$B$2))*SIN(M131)+COS(RADIANS(설정!$B$2))*COS(M131)*SIN(N131))</f>
        <v/>
      </c>
      <c r="P131" s="18">
        <f>(0.75+0.00002*설정!$B$3)*O131</f>
        <v/>
      </c>
      <c r="Q131" s="18">
        <f>IF(원데이터!K131&lt;&gt;"",원데이터!K131,(0.25+0.5*원데이터!L131/(24/PI()*N131))*O131)</f>
        <v/>
      </c>
      <c r="R131" s="18">
        <f>0.77*Q131</f>
        <v/>
      </c>
      <c r="S131" s="18">
        <f>0.000000004903*(((원데이터!B131+273.16)^4+(원데이터!C131+273.16)^4)/2)*(0.34-0.14*SQRT(G131))*(1.35*MIN(Q131/P131,1)-0.35)</f>
        <v/>
      </c>
      <c r="T131" s="18">
        <f>R131-S131</f>
        <v/>
      </c>
      <c r="U131" s="18">
        <f>(0.408*H131*T131+J131*(900/(C131+273))*K131*(F131-G131))/(H131+J131*(1+0.34*K131))</f>
        <v/>
      </c>
      <c r="V131" s="11">
        <f>IF(원데이터!A131-설정!$B$16&lt;0,"발아전",IF(원데이터!A131-설정!$B$16&lt;설정!$B$17,"초기",IF(원데이터!A131-설정!$B$16&lt;설정!$B$17+설정!$B$18,"발육",IF(원데이터!A131-설정!$B$16&lt;설정!$B$17+설정!$B$18+설정!$B$19,"중기",IF(원데이터!A131-설정!$B$16&lt;설정!$B$17+설정!$B$18+설정!$B$19+설정!$B$20,"후기","후기이후")))))</f>
        <v/>
      </c>
      <c r="W131" s="12">
        <f>IF(원데이터!A131-설정!$B$16&lt;0,0,IF(원데이터!A131-설정!$B$16&lt;설정!$B$17,설정!$B$33,IF(원데이터!A131-설정!$B$16&lt;설정!$B$17+설정!$B$18,설정!$B$33+(설정!$B$34-설정!$B$33)*(원데이터!A131-설정!$B$16-설정!$B$17+1)/설정!$B$18,IF(원데이터!A131-설정!$B$16&lt;설정!$B$17+설정!$B$18+설정!$B$19,설정!$B$34,IF(원데이터!A131-설정!$B$16&lt;설정!$B$17+설정!$B$18+설정!$B$19+설정!$B$20,설정!$B$34+(설정!$B$35-설정!$B$34)*(원데이터!A131-설정!$B$16-설정!$B$17-설정!$B$18-설정!$B$19+1)/설정!$B$20,0)))))</f>
        <v/>
      </c>
      <c r="X131" s="12">
        <f>0.108-0.0286*K131+0.0422*LN(설정!$B$5)+0.1434*LN(원데이터!E131)-0.000631*LN(설정!$B$5)^2*LN(원데이터!E131)</f>
        <v/>
      </c>
      <c r="Y131" s="17">
        <f>원데이터!M131</f>
        <v/>
      </c>
      <c r="Z131" s="18">
        <f>X131*Y131</f>
        <v/>
      </c>
      <c r="AA131" s="18">
        <f>U131*W131</f>
        <v/>
      </c>
      <c r="AB131" s="18">
        <f>Z131*W131</f>
        <v/>
      </c>
    </row>
    <row r="132">
      <c r="A132" s="15">
        <f>원데이터!A132</f>
        <v/>
      </c>
      <c r="B132" s="14">
        <f>원데이터!A132-DATE(YEAR(원데이터!A132),1,1)+1</f>
        <v/>
      </c>
      <c r="C132" s="17">
        <f>(원데이터!B132+원데이터!C132)/2</f>
        <v/>
      </c>
      <c r="D132" s="12">
        <f>0.6108*EXP(17.27*원데이터!B132/(원데이터!B132+237.3))</f>
        <v/>
      </c>
      <c r="E132" s="12">
        <f>0.6108*EXP(17.27*원데이터!C132/(원데이터!C132+237.3))</f>
        <v/>
      </c>
      <c r="F132" s="12">
        <f>(D132+E132)/2</f>
        <v/>
      </c>
      <c r="G132" s="12">
        <f>IF(원데이터!H132&lt;&gt;"",원데이터!H132/10,IF(원데이터!I132&lt;&gt;"",0.6108*EXP(17.27*원데이터!I132/(원데이터!I132+237.3)),원데이터!E132/100*F132))</f>
        <v/>
      </c>
      <c r="H132" s="21">
        <f>4098*(0.6108*EXP(17.27*C132/(C132+237.3)))/(C132+237.3)^2</f>
        <v/>
      </c>
      <c r="I132" s="17">
        <f>IF(원데이터!J132&lt;&gt;"",원데이터!J132/10,101.3*((293-0.0065*설정!$B$3)/293)^5.26)</f>
        <v/>
      </c>
      <c r="J132" s="21">
        <f>0.000665*I132</f>
        <v/>
      </c>
      <c r="K132" s="18">
        <f>원데이터!G132*4.87/LN(67.8*설정!$B$4-5.42)</f>
        <v/>
      </c>
      <c r="L132" s="12">
        <f>1+0.033*COS(2*PI()*B132/365)</f>
        <v/>
      </c>
      <c r="M132" s="21">
        <f>0.409*SIN(2*PI()*B132/365-1.39)</f>
        <v/>
      </c>
      <c r="N132" s="21">
        <f>ACOS(-TAN(RADIANS(설정!$B$2))*TAN(M132))</f>
        <v/>
      </c>
      <c r="O132" s="18">
        <f>(24*60/PI())*0.082*L132*(N132*SIN(RADIANS(설정!$B$2))*SIN(M132)+COS(RADIANS(설정!$B$2))*COS(M132)*SIN(N132))</f>
        <v/>
      </c>
      <c r="P132" s="18">
        <f>(0.75+0.00002*설정!$B$3)*O132</f>
        <v/>
      </c>
      <c r="Q132" s="18">
        <f>IF(원데이터!K132&lt;&gt;"",원데이터!K132,(0.25+0.5*원데이터!L132/(24/PI()*N132))*O132)</f>
        <v/>
      </c>
      <c r="R132" s="18">
        <f>0.77*Q132</f>
        <v/>
      </c>
      <c r="S132" s="18">
        <f>0.000000004903*(((원데이터!B132+273.16)^4+(원데이터!C132+273.16)^4)/2)*(0.34-0.14*SQRT(G132))*(1.35*MIN(Q132/P132,1)-0.35)</f>
        <v/>
      </c>
      <c r="T132" s="18">
        <f>R132-S132</f>
        <v/>
      </c>
      <c r="U132" s="18">
        <f>(0.408*H132*T132+J132*(900/(C132+273))*K132*(F132-G132))/(H132+J132*(1+0.34*K132))</f>
        <v/>
      </c>
      <c r="V132" s="11">
        <f>IF(원데이터!A132-설정!$B$16&lt;0,"발아전",IF(원데이터!A132-설정!$B$16&lt;설정!$B$17,"초기",IF(원데이터!A132-설정!$B$16&lt;설정!$B$17+설정!$B$18,"발육",IF(원데이터!A132-설정!$B$16&lt;설정!$B$17+설정!$B$18+설정!$B$19,"중기",IF(원데이터!A132-설정!$B$16&lt;설정!$B$17+설정!$B$18+설정!$B$19+설정!$B$20,"후기","후기이후")))))</f>
        <v/>
      </c>
      <c r="W132" s="12">
        <f>IF(원데이터!A132-설정!$B$16&lt;0,0,IF(원데이터!A132-설정!$B$16&lt;설정!$B$17,설정!$B$33,IF(원데이터!A132-설정!$B$16&lt;설정!$B$17+설정!$B$18,설정!$B$33+(설정!$B$34-설정!$B$33)*(원데이터!A132-설정!$B$16-설정!$B$17+1)/설정!$B$18,IF(원데이터!A132-설정!$B$16&lt;설정!$B$17+설정!$B$18+설정!$B$19,설정!$B$34,IF(원데이터!A132-설정!$B$16&lt;설정!$B$17+설정!$B$18+설정!$B$19+설정!$B$20,설정!$B$34+(설정!$B$35-설정!$B$34)*(원데이터!A132-설정!$B$16-설정!$B$17-설정!$B$18-설정!$B$19+1)/설정!$B$20,0)))))</f>
        <v/>
      </c>
      <c r="X132" s="12">
        <f>0.108-0.0286*K132+0.0422*LN(설정!$B$5)+0.1434*LN(원데이터!E132)-0.000631*LN(설정!$B$5)^2*LN(원데이터!E132)</f>
        <v/>
      </c>
      <c r="Y132" s="17">
        <f>원데이터!M132</f>
        <v/>
      </c>
      <c r="Z132" s="18">
        <f>X132*Y132</f>
        <v/>
      </c>
      <c r="AA132" s="18">
        <f>U132*W132</f>
        <v/>
      </c>
      <c r="AB132" s="18">
        <f>Z132*W132</f>
        <v/>
      </c>
    </row>
    <row r="133">
      <c r="A133" s="15">
        <f>원데이터!A133</f>
        <v/>
      </c>
      <c r="B133" s="14">
        <f>원데이터!A133-DATE(YEAR(원데이터!A133),1,1)+1</f>
        <v/>
      </c>
      <c r="C133" s="17">
        <f>(원데이터!B133+원데이터!C133)/2</f>
        <v/>
      </c>
      <c r="D133" s="12">
        <f>0.6108*EXP(17.27*원데이터!B133/(원데이터!B133+237.3))</f>
        <v/>
      </c>
      <c r="E133" s="12">
        <f>0.6108*EXP(17.27*원데이터!C133/(원데이터!C133+237.3))</f>
        <v/>
      </c>
      <c r="F133" s="12">
        <f>(D133+E133)/2</f>
        <v/>
      </c>
      <c r="G133" s="12">
        <f>IF(원데이터!H133&lt;&gt;"",원데이터!H133/10,IF(원데이터!I133&lt;&gt;"",0.6108*EXP(17.27*원데이터!I133/(원데이터!I133+237.3)),원데이터!E133/100*F133))</f>
        <v/>
      </c>
      <c r="H133" s="21">
        <f>4098*(0.6108*EXP(17.27*C133/(C133+237.3)))/(C133+237.3)^2</f>
        <v/>
      </c>
      <c r="I133" s="17">
        <f>IF(원데이터!J133&lt;&gt;"",원데이터!J133/10,101.3*((293-0.0065*설정!$B$3)/293)^5.26)</f>
        <v/>
      </c>
      <c r="J133" s="21">
        <f>0.000665*I133</f>
        <v/>
      </c>
      <c r="K133" s="18">
        <f>원데이터!G133*4.87/LN(67.8*설정!$B$4-5.42)</f>
        <v/>
      </c>
      <c r="L133" s="12">
        <f>1+0.033*COS(2*PI()*B133/365)</f>
        <v/>
      </c>
      <c r="M133" s="21">
        <f>0.409*SIN(2*PI()*B133/365-1.39)</f>
        <v/>
      </c>
      <c r="N133" s="21">
        <f>ACOS(-TAN(RADIANS(설정!$B$2))*TAN(M133))</f>
        <v/>
      </c>
      <c r="O133" s="18">
        <f>(24*60/PI())*0.082*L133*(N133*SIN(RADIANS(설정!$B$2))*SIN(M133)+COS(RADIANS(설정!$B$2))*COS(M133)*SIN(N133))</f>
        <v/>
      </c>
      <c r="P133" s="18">
        <f>(0.75+0.00002*설정!$B$3)*O133</f>
        <v/>
      </c>
      <c r="Q133" s="18">
        <f>IF(원데이터!K133&lt;&gt;"",원데이터!K133,(0.25+0.5*원데이터!L133/(24/PI()*N133))*O133)</f>
        <v/>
      </c>
      <c r="R133" s="18">
        <f>0.77*Q133</f>
        <v/>
      </c>
      <c r="S133" s="18">
        <f>0.000000004903*(((원데이터!B133+273.16)^4+(원데이터!C133+273.16)^4)/2)*(0.34-0.14*SQRT(G133))*(1.35*MIN(Q133/P133,1)-0.35)</f>
        <v/>
      </c>
      <c r="T133" s="18">
        <f>R133-S133</f>
        <v/>
      </c>
      <c r="U133" s="18">
        <f>(0.408*H133*T133+J133*(900/(C133+273))*K133*(F133-G133))/(H133+J133*(1+0.34*K133))</f>
        <v/>
      </c>
      <c r="V133" s="11">
        <f>IF(원데이터!A133-설정!$B$16&lt;0,"발아전",IF(원데이터!A133-설정!$B$16&lt;설정!$B$17,"초기",IF(원데이터!A133-설정!$B$16&lt;설정!$B$17+설정!$B$18,"발육",IF(원데이터!A133-설정!$B$16&lt;설정!$B$17+설정!$B$18+설정!$B$19,"중기",IF(원데이터!A133-설정!$B$16&lt;설정!$B$17+설정!$B$18+설정!$B$19+설정!$B$20,"후기","후기이후")))))</f>
        <v/>
      </c>
      <c r="W133" s="12">
        <f>IF(원데이터!A133-설정!$B$16&lt;0,0,IF(원데이터!A133-설정!$B$16&lt;설정!$B$17,설정!$B$33,IF(원데이터!A133-설정!$B$16&lt;설정!$B$17+설정!$B$18,설정!$B$33+(설정!$B$34-설정!$B$33)*(원데이터!A133-설정!$B$16-설정!$B$17+1)/설정!$B$18,IF(원데이터!A133-설정!$B$16&lt;설정!$B$17+설정!$B$18+설정!$B$19,설정!$B$34,IF(원데이터!A133-설정!$B$16&lt;설정!$B$17+설정!$B$18+설정!$B$19+설정!$B$20,설정!$B$34+(설정!$B$35-설정!$B$34)*(원데이터!A133-설정!$B$16-설정!$B$17-설정!$B$18-설정!$B$19+1)/설정!$B$20,0)))))</f>
        <v/>
      </c>
      <c r="X133" s="12">
        <f>0.108-0.0286*K133+0.0422*LN(설정!$B$5)+0.1434*LN(원데이터!E133)-0.000631*LN(설정!$B$5)^2*LN(원데이터!E133)</f>
        <v/>
      </c>
      <c r="Y133" s="17">
        <f>원데이터!M133</f>
        <v/>
      </c>
      <c r="Z133" s="18">
        <f>X133*Y133</f>
        <v/>
      </c>
      <c r="AA133" s="18">
        <f>U133*W133</f>
        <v/>
      </c>
      <c r="AB133" s="18">
        <f>Z133*W133</f>
        <v/>
      </c>
    </row>
    <row r="134">
      <c r="A134" s="15">
        <f>원데이터!A134</f>
        <v/>
      </c>
      <c r="B134" s="14">
        <f>원데이터!A134-DATE(YEAR(원데이터!A134),1,1)+1</f>
        <v/>
      </c>
      <c r="C134" s="17">
        <f>(원데이터!B134+원데이터!C134)/2</f>
        <v/>
      </c>
      <c r="D134" s="12">
        <f>0.6108*EXP(17.27*원데이터!B134/(원데이터!B134+237.3))</f>
        <v/>
      </c>
      <c r="E134" s="12">
        <f>0.6108*EXP(17.27*원데이터!C134/(원데이터!C134+237.3))</f>
        <v/>
      </c>
      <c r="F134" s="12">
        <f>(D134+E134)/2</f>
        <v/>
      </c>
      <c r="G134" s="12">
        <f>IF(원데이터!H134&lt;&gt;"",원데이터!H134/10,IF(원데이터!I134&lt;&gt;"",0.6108*EXP(17.27*원데이터!I134/(원데이터!I134+237.3)),원데이터!E134/100*F134))</f>
        <v/>
      </c>
      <c r="H134" s="21">
        <f>4098*(0.6108*EXP(17.27*C134/(C134+237.3)))/(C134+237.3)^2</f>
        <v/>
      </c>
      <c r="I134" s="17">
        <f>IF(원데이터!J134&lt;&gt;"",원데이터!J134/10,101.3*((293-0.0065*설정!$B$3)/293)^5.26)</f>
        <v/>
      </c>
      <c r="J134" s="21">
        <f>0.000665*I134</f>
        <v/>
      </c>
      <c r="K134" s="18">
        <f>원데이터!G134*4.87/LN(67.8*설정!$B$4-5.42)</f>
        <v/>
      </c>
      <c r="L134" s="12">
        <f>1+0.033*COS(2*PI()*B134/365)</f>
        <v/>
      </c>
      <c r="M134" s="21">
        <f>0.409*SIN(2*PI()*B134/365-1.39)</f>
        <v/>
      </c>
      <c r="N134" s="21">
        <f>ACOS(-TAN(RADIANS(설정!$B$2))*TAN(M134))</f>
        <v/>
      </c>
      <c r="O134" s="18">
        <f>(24*60/PI())*0.082*L134*(N134*SIN(RADIANS(설정!$B$2))*SIN(M134)+COS(RADIANS(설정!$B$2))*COS(M134)*SIN(N134))</f>
        <v/>
      </c>
      <c r="P134" s="18">
        <f>(0.75+0.00002*설정!$B$3)*O134</f>
        <v/>
      </c>
      <c r="Q134" s="18">
        <f>IF(원데이터!K134&lt;&gt;"",원데이터!K134,(0.25+0.5*원데이터!L134/(24/PI()*N134))*O134)</f>
        <v/>
      </c>
      <c r="R134" s="18">
        <f>0.77*Q134</f>
        <v/>
      </c>
      <c r="S134" s="18">
        <f>0.000000004903*(((원데이터!B134+273.16)^4+(원데이터!C134+273.16)^4)/2)*(0.34-0.14*SQRT(G134))*(1.35*MIN(Q134/P134,1)-0.35)</f>
        <v/>
      </c>
      <c r="T134" s="18">
        <f>R134-S134</f>
        <v/>
      </c>
      <c r="U134" s="18">
        <f>(0.408*H134*T134+J134*(900/(C134+273))*K134*(F134-G134))/(H134+J134*(1+0.34*K134))</f>
        <v/>
      </c>
      <c r="V134" s="11">
        <f>IF(원데이터!A134-설정!$B$16&lt;0,"발아전",IF(원데이터!A134-설정!$B$16&lt;설정!$B$17,"초기",IF(원데이터!A134-설정!$B$16&lt;설정!$B$17+설정!$B$18,"발육",IF(원데이터!A134-설정!$B$16&lt;설정!$B$17+설정!$B$18+설정!$B$19,"중기",IF(원데이터!A134-설정!$B$16&lt;설정!$B$17+설정!$B$18+설정!$B$19+설정!$B$20,"후기","후기이후")))))</f>
        <v/>
      </c>
      <c r="W134" s="12">
        <f>IF(원데이터!A134-설정!$B$16&lt;0,0,IF(원데이터!A134-설정!$B$16&lt;설정!$B$17,설정!$B$33,IF(원데이터!A134-설정!$B$16&lt;설정!$B$17+설정!$B$18,설정!$B$33+(설정!$B$34-설정!$B$33)*(원데이터!A134-설정!$B$16-설정!$B$17+1)/설정!$B$18,IF(원데이터!A134-설정!$B$16&lt;설정!$B$17+설정!$B$18+설정!$B$19,설정!$B$34,IF(원데이터!A134-설정!$B$16&lt;설정!$B$17+설정!$B$18+설정!$B$19+설정!$B$20,설정!$B$34+(설정!$B$35-설정!$B$34)*(원데이터!A134-설정!$B$16-설정!$B$17-설정!$B$18-설정!$B$19+1)/설정!$B$20,0)))))</f>
        <v/>
      </c>
      <c r="X134" s="12">
        <f>0.108-0.0286*K134+0.0422*LN(설정!$B$5)+0.1434*LN(원데이터!E134)-0.000631*LN(설정!$B$5)^2*LN(원데이터!E134)</f>
        <v/>
      </c>
      <c r="Y134" s="17">
        <f>원데이터!M134</f>
        <v/>
      </c>
      <c r="Z134" s="18">
        <f>X134*Y134</f>
        <v/>
      </c>
      <c r="AA134" s="18">
        <f>U134*W134</f>
        <v/>
      </c>
      <c r="AB134" s="18">
        <f>Z134*W134</f>
        <v/>
      </c>
    </row>
    <row r="135">
      <c r="A135" s="15">
        <f>원데이터!A135</f>
        <v/>
      </c>
      <c r="B135" s="14">
        <f>원데이터!A135-DATE(YEAR(원데이터!A135),1,1)+1</f>
        <v/>
      </c>
      <c r="C135" s="17">
        <f>(원데이터!B135+원데이터!C135)/2</f>
        <v/>
      </c>
      <c r="D135" s="12">
        <f>0.6108*EXP(17.27*원데이터!B135/(원데이터!B135+237.3))</f>
        <v/>
      </c>
      <c r="E135" s="12">
        <f>0.6108*EXP(17.27*원데이터!C135/(원데이터!C135+237.3))</f>
        <v/>
      </c>
      <c r="F135" s="12">
        <f>(D135+E135)/2</f>
        <v/>
      </c>
      <c r="G135" s="12">
        <f>IF(원데이터!H135&lt;&gt;"",원데이터!H135/10,IF(원데이터!I135&lt;&gt;"",0.6108*EXP(17.27*원데이터!I135/(원데이터!I135+237.3)),원데이터!E135/100*F135))</f>
        <v/>
      </c>
      <c r="H135" s="21">
        <f>4098*(0.6108*EXP(17.27*C135/(C135+237.3)))/(C135+237.3)^2</f>
        <v/>
      </c>
      <c r="I135" s="17">
        <f>IF(원데이터!J135&lt;&gt;"",원데이터!J135/10,101.3*((293-0.0065*설정!$B$3)/293)^5.26)</f>
        <v/>
      </c>
      <c r="J135" s="21">
        <f>0.000665*I135</f>
        <v/>
      </c>
      <c r="K135" s="18">
        <f>원데이터!G135*4.87/LN(67.8*설정!$B$4-5.42)</f>
        <v/>
      </c>
      <c r="L135" s="12">
        <f>1+0.033*COS(2*PI()*B135/365)</f>
        <v/>
      </c>
      <c r="M135" s="21">
        <f>0.409*SIN(2*PI()*B135/365-1.39)</f>
        <v/>
      </c>
      <c r="N135" s="21">
        <f>ACOS(-TAN(RADIANS(설정!$B$2))*TAN(M135))</f>
        <v/>
      </c>
      <c r="O135" s="18">
        <f>(24*60/PI())*0.082*L135*(N135*SIN(RADIANS(설정!$B$2))*SIN(M135)+COS(RADIANS(설정!$B$2))*COS(M135)*SIN(N135))</f>
        <v/>
      </c>
      <c r="P135" s="18">
        <f>(0.75+0.00002*설정!$B$3)*O135</f>
        <v/>
      </c>
      <c r="Q135" s="18">
        <f>IF(원데이터!K135&lt;&gt;"",원데이터!K135,(0.25+0.5*원데이터!L135/(24/PI()*N135))*O135)</f>
        <v/>
      </c>
      <c r="R135" s="18">
        <f>0.77*Q135</f>
        <v/>
      </c>
      <c r="S135" s="18">
        <f>0.000000004903*(((원데이터!B135+273.16)^4+(원데이터!C135+273.16)^4)/2)*(0.34-0.14*SQRT(G135))*(1.35*MIN(Q135/P135,1)-0.35)</f>
        <v/>
      </c>
      <c r="T135" s="18">
        <f>R135-S135</f>
        <v/>
      </c>
      <c r="U135" s="18">
        <f>(0.408*H135*T135+J135*(900/(C135+273))*K135*(F135-G135))/(H135+J135*(1+0.34*K135))</f>
        <v/>
      </c>
      <c r="V135" s="11">
        <f>IF(원데이터!A135-설정!$B$16&lt;0,"발아전",IF(원데이터!A135-설정!$B$16&lt;설정!$B$17,"초기",IF(원데이터!A135-설정!$B$16&lt;설정!$B$17+설정!$B$18,"발육",IF(원데이터!A135-설정!$B$16&lt;설정!$B$17+설정!$B$18+설정!$B$19,"중기",IF(원데이터!A135-설정!$B$16&lt;설정!$B$17+설정!$B$18+설정!$B$19+설정!$B$20,"후기","후기이후")))))</f>
        <v/>
      </c>
      <c r="W135" s="12">
        <f>IF(원데이터!A135-설정!$B$16&lt;0,0,IF(원데이터!A135-설정!$B$16&lt;설정!$B$17,설정!$B$33,IF(원데이터!A135-설정!$B$16&lt;설정!$B$17+설정!$B$18,설정!$B$33+(설정!$B$34-설정!$B$33)*(원데이터!A135-설정!$B$16-설정!$B$17+1)/설정!$B$18,IF(원데이터!A135-설정!$B$16&lt;설정!$B$17+설정!$B$18+설정!$B$19,설정!$B$34,IF(원데이터!A135-설정!$B$16&lt;설정!$B$17+설정!$B$18+설정!$B$19+설정!$B$20,설정!$B$34+(설정!$B$35-설정!$B$34)*(원데이터!A135-설정!$B$16-설정!$B$17-설정!$B$18-설정!$B$19+1)/설정!$B$20,0)))))</f>
        <v/>
      </c>
      <c r="X135" s="12">
        <f>0.108-0.0286*K135+0.0422*LN(설정!$B$5)+0.1434*LN(원데이터!E135)-0.000631*LN(설정!$B$5)^2*LN(원데이터!E135)</f>
        <v/>
      </c>
      <c r="Y135" s="17">
        <f>원데이터!M135</f>
        <v/>
      </c>
      <c r="Z135" s="18">
        <f>X135*Y135</f>
        <v/>
      </c>
      <c r="AA135" s="18">
        <f>U135*W135</f>
        <v/>
      </c>
      <c r="AB135" s="18">
        <f>Z135*W135</f>
        <v/>
      </c>
    </row>
    <row r="136">
      <c r="A136" s="15">
        <f>원데이터!A136</f>
        <v/>
      </c>
      <c r="B136" s="14">
        <f>원데이터!A136-DATE(YEAR(원데이터!A136),1,1)+1</f>
        <v/>
      </c>
      <c r="C136" s="17">
        <f>(원데이터!B136+원데이터!C136)/2</f>
        <v/>
      </c>
      <c r="D136" s="12">
        <f>0.6108*EXP(17.27*원데이터!B136/(원데이터!B136+237.3))</f>
        <v/>
      </c>
      <c r="E136" s="12">
        <f>0.6108*EXP(17.27*원데이터!C136/(원데이터!C136+237.3))</f>
        <v/>
      </c>
      <c r="F136" s="12">
        <f>(D136+E136)/2</f>
        <v/>
      </c>
      <c r="G136" s="12">
        <f>IF(원데이터!H136&lt;&gt;"",원데이터!H136/10,IF(원데이터!I136&lt;&gt;"",0.6108*EXP(17.27*원데이터!I136/(원데이터!I136+237.3)),원데이터!E136/100*F136))</f>
        <v/>
      </c>
      <c r="H136" s="21">
        <f>4098*(0.6108*EXP(17.27*C136/(C136+237.3)))/(C136+237.3)^2</f>
        <v/>
      </c>
      <c r="I136" s="17">
        <f>IF(원데이터!J136&lt;&gt;"",원데이터!J136/10,101.3*((293-0.0065*설정!$B$3)/293)^5.26)</f>
        <v/>
      </c>
      <c r="J136" s="21">
        <f>0.000665*I136</f>
        <v/>
      </c>
      <c r="K136" s="18">
        <f>원데이터!G136*4.87/LN(67.8*설정!$B$4-5.42)</f>
        <v/>
      </c>
      <c r="L136" s="12">
        <f>1+0.033*COS(2*PI()*B136/365)</f>
        <v/>
      </c>
      <c r="M136" s="21">
        <f>0.409*SIN(2*PI()*B136/365-1.39)</f>
        <v/>
      </c>
      <c r="N136" s="21">
        <f>ACOS(-TAN(RADIANS(설정!$B$2))*TAN(M136))</f>
        <v/>
      </c>
      <c r="O136" s="18">
        <f>(24*60/PI())*0.082*L136*(N136*SIN(RADIANS(설정!$B$2))*SIN(M136)+COS(RADIANS(설정!$B$2))*COS(M136)*SIN(N136))</f>
        <v/>
      </c>
      <c r="P136" s="18">
        <f>(0.75+0.00002*설정!$B$3)*O136</f>
        <v/>
      </c>
      <c r="Q136" s="18">
        <f>IF(원데이터!K136&lt;&gt;"",원데이터!K136,(0.25+0.5*원데이터!L136/(24/PI()*N136))*O136)</f>
        <v/>
      </c>
      <c r="R136" s="18">
        <f>0.77*Q136</f>
        <v/>
      </c>
      <c r="S136" s="18">
        <f>0.000000004903*(((원데이터!B136+273.16)^4+(원데이터!C136+273.16)^4)/2)*(0.34-0.14*SQRT(G136))*(1.35*MIN(Q136/P136,1)-0.35)</f>
        <v/>
      </c>
      <c r="T136" s="18">
        <f>R136-S136</f>
        <v/>
      </c>
      <c r="U136" s="18">
        <f>(0.408*H136*T136+J136*(900/(C136+273))*K136*(F136-G136))/(H136+J136*(1+0.34*K136))</f>
        <v/>
      </c>
      <c r="V136" s="11">
        <f>IF(원데이터!A136-설정!$B$16&lt;0,"발아전",IF(원데이터!A136-설정!$B$16&lt;설정!$B$17,"초기",IF(원데이터!A136-설정!$B$16&lt;설정!$B$17+설정!$B$18,"발육",IF(원데이터!A136-설정!$B$16&lt;설정!$B$17+설정!$B$18+설정!$B$19,"중기",IF(원데이터!A136-설정!$B$16&lt;설정!$B$17+설정!$B$18+설정!$B$19+설정!$B$20,"후기","후기이후")))))</f>
        <v/>
      </c>
      <c r="W136" s="12">
        <f>IF(원데이터!A136-설정!$B$16&lt;0,0,IF(원데이터!A136-설정!$B$16&lt;설정!$B$17,설정!$B$33,IF(원데이터!A136-설정!$B$16&lt;설정!$B$17+설정!$B$18,설정!$B$33+(설정!$B$34-설정!$B$33)*(원데이터!A136-설정!$B$16-설정!$B$17+1)/설정!$B$18,IF(원데이터!A136-설정!$B$16&lt;설정!$B$17+설정!$B$18+설정!$B$19,설정!$B$34,IF(원데이터!A136-설정!$B$16&lt;설정!$B$17+설정!$B$18+설정!$B$19+설정!$B$20,설정!$B$34+(설정!$B$35-설정!$B$34)*(원데이터!A136-설정!$B$16-설정!$B$17-설정!$B$18-설정!$B$19+1)/설정!$B$20,0)))))</f>
        <v/>
      </c>
      <c r="X136" s="12">
        <f>0.108-0.0286*K136+0.0422*LN(설정!$B$5)+0.1434*LN(원데이터!E136)-0.000631*LN(설정!$B$5)^2*LN(원데이터!E136)</f>
        <v/>
      </c>
      <c r="Y136" s="17">
        <f>원데이터!M136</f>
        <v/>
      </c>
      <c r="Z136" s="18">
        <f>X136*Y136</f>
        <v/>
      </c>
      <c r="AA136" s="18">
        <f>U136*W136</f>
        <v/>
      </c>
      <c r="AB136" s="18">
        <f>Z136*W136</f>
        <v/>
      </c>
    </row>
    <row r="137">
      <c r="A137" s="15">
        <f>원데이터!A137</f>
        <v/>
      </c>
      <c r="B137" s="14">
        <f>원데이터!A137-DATE(YEAR(원데이터!A137),1,1)+1</f>
        <v/>
      </c>
      <c r="C137" s="17">
        <f>(원데이터!B137+원데이터!C137)/2</f>
        <v/>
      </c>
      <c r="D137" s="12">
        <f>0.6108*EXP(17.27*원데이터!B137/(원데이터!B137+237.3))</f>
        <v/>
      </c>
      <c r="E137" s="12">
        <f>0.6108*EXP(17.27*원데이터!C137/(원데이터!C137+237.3))</f>
        <v/>
      </c>
      <c r="F137" s="12">
        <f>(D137+E137)/2</f>
        <v/>
      </c>
      <c r="G137" s="12">
        <f>IF(원데이터!H137&lt;&gt;"",원데이터!H137/10,IF(원데이터!I137&lt;&gt;"",0.6108*EXP(17.27*원데이터!I137/(원데이터!I137+237.3)),원데이터!E137/100*F137))</f>
        <v/>
      </c>
      <c r="H137" s="21">
        <f>4098*(0.6108*EXP(17.27*C137/(C137+237.3)))/(C137+237.3)^2</f>
        <v/>
      </c>
      <c r="I137" s="17">
        <f>IF(원데이터!J137&lt;&gt;"",원데이터!J137/10,101.3*((293-0.0065*설정!$B$3)/293)^5.26)</f>
        <v/>
      </c>
      <c r="J137" s="21">
        <f>0.000665*I137</f>
        <v/>
      </c>
      <c r="K137" s="18">
        <f>원데이터!G137*4.87/LN(67.8*설정!$B$4-5.42)</f>
        <v/>
      </c>
      <c r="L137" s="12">
        <f>1+0.033*COS(2*PI()*B137/365)</f>
        <v/>
      </c>
      <c r="M137" s="21">
        <f>0.409*SIN(2*PI()*B137/365-1.39)</f>
        <v/>
      </c>
      <c r="N137" s="21">
        <f>ACOS(-TAN(RADIANS(설정!$B$2))*TAN(M137))</f>
        <v/>
      </c>
      <c r="O137" s="18">
        <f>(24*60/PI())*0.082*L137*(N137*SIN(RADIANS(설정!$B$2))*SIN(M137)+COS(RADIANS(설정!$B$2))*COS(M137)*SIN(N137))</f>
        <v/>
      </c>
      <c r="P137" s="18">
        <f>(0.75+0.00002*설정!$B$3)*O137</f>
        <v/>
      </c>
      <c r="Q137" s="18">
        <f>IF(원데이터!K137&lt;&gt;"",원데이터!K137,(0.25+0.5*원데이터!L137/(24/PI()*N137))*O137)</f>
        <v/>
      </c>
      <c r="R137" s="18">
        <f>0.77*Q137</f>
        <v/>
      </c>
      <c r="S137" s="18">
        <f>0.000000004903*(((원데이터!B137+273.16)^4+(원데이터!C137+273.16)^4)/2)*(0.34-0.14*SQRT(G137))*(1.35*MIN(Q137/P137,1)-0.35)</f>
        <v/>
      </c>
      <c r="T137" s="18">
        <f>R137-S137</f>
        <v/>
      </c>
      <c r="U137" s="18">
        <f>(0.408*H137*T137+J137*(900/(C137+273))*K137*(F137-G137))/(H137+J137*(1+0.34*K137))</f>
        <v/>
      </c>
      <c r="V137" s="11">
        <f>IF(원데이터!A137-설정!$B$16&lt;0,"발아전",IF(원데이터!A137-설정!$B$16&lt;설정!$B$17,"초기",IF(원데이터!A137-설정!$B$16&lt;설정!$B$17+설정!$B$18,"발육",IF(원데이터!A137-설정!$B$16&lt;설정!$B$17+설정!$B$18+설정!$B$19,"중기",IF(원데이터!A137-설정!$B$16&lt;설정!$B$17+설정!$B$18+설정!$B$19+설정!$B$20,"후기","후기이후")))))</f>
        <v/>
      </c>
      <c r="W137" s="12">
        <f>IF(원데이터!A137-설정!$B$16&lt;0,0,IF(원데이터!A137-설정!$B$16&lt;설정!$B$17,설정!$B$33,IF(원데이터!A137-설정!$B$16&lt;설정!$B$17+설정!$B$18,설정!$B$33+(설정!$B$34-설정!$B$33)*(원데이터!A137-설정!$B$16-설정!$B$17+1)/설정!$B$18,IF(원데이터!A137-설정!$B$16&lt;설정!$B$17+설정!$B$18+설정!$B$19,설정!$B$34,IF(원데이터!A137-설정!$B$16&lt;설정!$B$17+설정!$B$18+설정!$B$19+설정!$B$20,설정!$B$34+(설정!$B$35-설정!$B$34)*(원데이터!A137-설정!$B$16-설정!$B$17-설정!$B$18-설정!$B$19+1)/설정!$B$20,0)))))</f>
        <v/>
      </c>
      <c r="X137" s="12">
        <f>0.108-0.0286*K137+0.0422*LN(설정!$B$5)+0.1434*LN(원데이터!E137)-0.000631*LN(설정!$B$5)^2*LN(원데이터!E137)</f>
        <v/>
      </c>
      <c r="Y137" s="17">
        <f>원데이터!M137</f>
        <v/>
      </c>
      <c r="Z137" s="18">
        <f>X137*Y137</f>
        <v/>
      </c>
      <c r="AA137" s="18">
        <f>U137*W137</f>
        <v/>
      </c>
      <c r="AB137" s="18">
        <f>Z137*W137</f>
        <v/>
      </c>
    </row>
    <row r="138">
      <c r="A138" s="15">
        <f>원데이터!A138</f>
        <v/>
      </c>
      <c r="B138" s="14">
        <f>원데이터!A138-DATE(YEAR(원데이터!A138),1,1)+1</f>
        <v/>
      </c>
      <c r="C138" s="17">
        <f>(원데이터!B138+원데이터!C138)/2</f>
        <v/>
      </c>
      <c r="D138" s="12">
        <f>0.6108*EXP(17.27*원데이터!B138/(원데이터!B138+237.3))</f>
        <v/>
      </c>
      <c r="E138" s="12">
        <f>0.6108*EXP(17.27*원데이터!C138/(원데이터!C138+237.3))</f>
        <v/>
      </c>
      <c r="F138" s="12">
        <f>(D138+E138)/2</f>
        <v/>
      </c>
      <c r="G138" s="12">
        <f>IF(원데이터!H138&lt;&gt;"",원데이터!H138/10,IF(원데이터!I138&lt;&gt;"",0.6108*EXP(17.27*원데이터!I138/(원데이터!I138+237.3)),원데이터!E138/100*F138))</f>
        <v/>
      </c>
      <c r="H138" s="21">
        <f>4098*(0.6108*EXP(17.27*C138/(C138+237.3)))/(C138+237.3)^2</f>
        <v/>
      </c>
      <c r="I138" s="17">
        <f>IF(원데이터!J138&lt;&gt;"",원데이터!J138/10,101.3*((293-0.0065*설정!$B$3)/293)^5.26)</f>
        <v/>
      </c>
      <c r="J138" s="21">
        <f>0.000665*I138</f>
        <v/>
      </c>
      <c r="K138" s="18">
        <f>원데이터!G138*4.87/LN(67.8*설정!$B$4-5.42)</f>
        <v/>
      </c>
      <c r="L138" s="12">
        <f>1+0.033*COS(2*PI()*B138/365)</f>
        <v/>
      </c>
      <c r="M138" s="21">
        <f>0.409*SIN(2*PI()*B138/365-1.39)</f>
        <v/>
      </c>
      <c r="N138" s="21">
        <f>ACOS(-TAN(RADIANS(설정!$B$2))*TAN(M138))</f>
        <v/>
      </c>
      <c r="O138" s="18">
        <f>(24*60/PI())*0.082*L138*(N138*SIN(RADIANS(설정!$B$2))*SIN(M138)+COS(RADIANS(설정!$B$2))*COS(M138)*SIN(N138))</f>
        <v/>
      </c>
      <c r="P138" s="18">
        <f>(0.75+0.00002*설정!$B$3)*O138</f>
        <v/>
      </c>
      <c r="Q138" s="18">
        <f>IF(원데이터!K138&lt;&gt;"",원데이터!K138,(0.25+0.5*원데이터!L138/(24/PI()*N138))*O138)</f>
        <v/>
      </c>
      <c r="R138" s="18">
        <f>0.77*Q138</f>
        <v/>
      </c>
      <c r="S138" s="18">
        <f>0.000000004903*(((원데이터!B138+273.16)^4+(원데이터!C138+273.16)^4)/2)*(0.34-0.14*SQRT(G138))*(1.35*MIN(Q138/P138,1)-0.35)</f>
        <v/>
      </c>
      <c r="T138" s="18">
        <f>R138-S138</f>
        <v/>
      </c>
      <c r="U138" s="18">
        <f>(0.408*H138*T138+J138*(900/(C138+273))*K138*(F138-G138))/(H138+J138*(1+0.34*K138))</f>
        <v/>
      </c>
      <c r="V138" s="11">
        <f>IF(원데이터!A138-설정!$B$16&lt;0,"발아전",IF(원데이터!A138-설정!$B$16&lt;설정!$B$17,"초기",IF(원데이터!A138-설정!$B$16&lt;설정!$B$17+설정!$B$18,"발육",IF(원데이터!A138-설정!$B$16&lt;설정!$B$17+설정!$B$18+설정!$B$19,"중기",IF(원데이터!A138-설정!$B$16&lt;설정!$B$17+설정!$B$18+설정!$B$19+설정!$B$20,"후기","후기이후")))))</f>
        <v/>
      </c>
      <c r="W138" s="12">
        <f>IF(원데이터!A138-설정!$B$16&lt;0,0,IF(원데이터!A138-설정!$B$16&lt;설정!$B$17,설정!$B$33,IF(원데이터!A138-설정!$B$16&lt;설정!$B$17+설정!$B$18,설정!$B$33+(설정!$B$34-설정!$B$33)*(원데이터!A138-설정!$B$16-설정!$B$17+1)/설정!$B$18,IF(원데이터!A138-설정!$B$16&lt;설정!$B$17+설정!$B$18+설정!$B$19,설정!$B$34,IF(원데이터!A138-설정!$B$16&lt;설정!$B$17+설정!$B$18+설정!$B$19+설정!$B$20,설정!$B$34+(설정!$B$35-설정!$B$34)*(원데이터!A138-설정!$B$16-설정!$B$17-설정!$B$18-설정!$B$19+1)/설정!$B$20,0)))))</f>
        <v/>
      </c>
      <c r="X138" s="12">
        <f>0.108-0.0286*K138+0.0422*LN(설정!$B$5)+0.1434*LN(원데이터!E138)-0.000631*LN(설정!$B$5)^2*LN(원데이터!E138)</f>
        <v/>
      </c>
      <c r="Y138" s="17">
        <f>원데이터!M138</f>
        <v/>
      </c>
      <c r="Z138" s="18">
        <f>X138*Y138</f>
        <v/>
      </c>
      <c r="AA138" s="18">
        <f>U138*W138</f>
        <v/>
      </c>
      <c r="AB138" s="18">
        <f>Z138*W138</f>
        <v/>
      </c>
    </row>
    <row r="139">
      <c r="A139" s="15">
        <f>원데이터!A139</f>
        <v/>
      </c>
      <c r="B139" s="14">
        <f>원데이터!A139-DATE(YEAR(원데이터!A139),1,1)+1</f>
        <v/>
      </c>
      <c r="C139" s="17">
        <f>(원데이터!B139+원데이터!C139)/2</f>
        <v/>
      </c>
      <c r="D139" s="12">
        <f>0.6108*EXP(17.27*원데이터!B139/(원데이터!B139+237.3))</f>
        <v/>
      </c>
      <c r="E139" s="12">
        <f>0.6108*EXP(17.27*원데이터!C139/(원데이터!C139+237.3))</f>
        <v/>
      </c>
      <c r="F139" s="12">
        <f>(D139+E139)/2</f>
        <v/>
      </c>
      <c r="G139" s="12">
        <f>IF(원데이터!H139&lt;&gt;"",원데이터!H139/10,IF(원데이터!I139&lt;&gt;"",0.6108*EXP(17.27*원데이터!I139/(원데이터!I139+237.3)),원데이터!E139/100*F139))</f>
        <v/>
      </c>
      <c r="H139" s="21">
        <f>4098*(0.6108*EXP(17.27*C139/(C139+237.3)))/(C139+237.3)^2</f>
        <v/>
      </c>
      <c r="I139" s="17">
        <f>IF(원데이터!J139&lt;&gt;"",원데이터!J139/10,101.3*((293-0.0065*설정!$B$3)/293)^5.26)</f>
        <v/>
      </c>
      <c r="J139" s="21">
        <f>0.000665*I139</f>
        <v/>
      </c>
      <c r="K139" s="18">
        <f>원데이터!G139*4.87/LN(67.8*설정!$B$4-5.42)</f>
        <v/>
      </c>
      <c r="L139" s="12">
        <f>1+0.033*COS(2*PI()*B139/365)</f>
        <v/>
      </c>
      <c r="M139" s="21">
        <f>0.409*SIN(2*PI()*B139/365-1.39)</f>
        <v/>
      </c>
      <c r="N139" s="21">
        <f>ACOS(-TAN(RADIANS(설정!$B$2))*TAN(M139))</f>
        <v/>
      </c>
      <c r="O139" s="18">
        <f>(24*60/PI())*0.082*L139*(N139*SIN(RADIANS(설정!$B$2))*SIN(M139)+COS(RADIANS(설정!$B$2))*COS(M139)*SIN(N139))</f>
        <v/>
      </c>
      <c r="P139" s="18">
        <f>(0.75+0.00002*설정!$B$3)*O139</f>
        <v/>
      </c>
      <c r="Q139" s="18">
        <f>IF(원데이터!K139&lt;&gt;"",원데이터!K139,(0.25+0.5*원데이터!L139/(24/PI()*N139))*O139)</f>
        <v/>
      </c>
      <c r="R139" s="18">
        <f>0.77*Q139</f>
        <v/>
      </c>
      <c r="S139" s="18">
        <f>0.000000004903*(((원데이터!B139+273.16)^4+(원데이터!C139+273.16)^4)/2)*(0.34-0.14*SQRT(G139))*(1.35*MIN(Q139/P139,1)-0.35)</f>
        <v/>
      </c>
      <c r="T139" s="18">
        <f>R139-S139</f>
        <v/>
      </c>
      <c r="U139" s="18">
        <f>(0.408*H139*T139+J139*(900/(C139+273))*K139*(F139-G139))/(H139+J139*(1+0.34*K139))</f>
        <v/>
      </c>
      <c r="V139" s="11">
        <f>IF(원데이터!A139-설정!$B$16&lt;0,"발아전",IF(원데이터!A139-설정!$B$16&lt;설정!$B$17,"초기",IF(원데이터!A139-설정!$B$16&lt;설정!$B$17+설정!$B$18,"발육",IF(원데이터!A139-설정!$B$16&lt;설정!$B$17+설정!$B$18+설정!$B$19,"중기",IF(원데이터!A139-설정!$B$16&lt;설정!$B$17+설정!$B$18+설정!$B$19+설정!$B$20,"후기","후기이후")))))</f>
        <v/>
      </c>
      <c r="W139" s="12">
        <f>IF(원데이터!A139-설정!$B$16&lt;0,0,IF(원데이터!A139-설정!$B$16&lt;설정!$B$17,설정!$B$33,IF(원데이터!A139-설정!$B$16&lt;설정!$B$17+설정!$B$18,설정!$B$33+(설정!$B$34-설정!$B$33)*(원데이터!A139-설정!$B$16-설정!$B$17+1)/설정!$B$18,IF(원데이터!A139-설정!$B$16&lt;설정!$B$17+설정!$B$18+설정!$B$19,설정!$B$34,IF(원데이터!A139-설정!$B$16&lt;설정!$B$17+설정!$B$18+설정!$B$19+설정!$B$20,설정!$B$34+(설정!$B$35-설정!$B$34)*(원데이터!A139-설정!$B$16-설정!$B$17-설정!$B$18-설정!$B$19+1)/설정!$B$20,0)))))</f>
        <v/>
      </c>
      <c r="X139" s="12">
        <f>0.108-0.0286*K139+0.0422*LN(설정!$B$5)+0.1434*LN(원데이터!E139)-0.000631*LN(설정!$B$5)^2*LN(원데이터!E139)</f>
        <v/>
      </c>
      <c r="Y139" s="17">
        <f>원데이터!M139</f>
        <v/>
      </c>
      <c r="Z139" s="18">
        <f>X139*Y139</f>
        <v/>
      </c>
      <c r="AA139" s="18">
        <f>U139*W139</f>
        <v/>
      </c>
      <c r="AB139" s="18">
        <f>Z139*W139</f>
        <v/>
      </c>
    </row>
    <row r="140">
      <c r="A140" s="15">
        <f>원데이터!A140</f>
        <v/>
      </c>
      <c r="B140" s="14">
        <f>원데이터!A140-DATE(YEAR(원데이터!A140),1,1)+1</f>
        <v/>
      </c>
      <c r="C140" s="17">
        <f>(원데이터!B140+원데이터!C140)/2</f>
        <v/>
      </c>
      <c r="D140" s="12">
        <f>0.6108*EXP(17.27*원데이터!B140/(원데이터!B140+237.3))</f>
        <v/>
      </c>
      <c r="E140" s="12">
        <f>0.6108*EXP(17.27*원데이터!C140/(원데이터!C140+237.3))</f>
        <v/>
      </c>
      <c r="F140" s="12">
        <f>(D140+E140)/2</f>
        <v/>
      </c>
      <c r="G140" s="12">
        <f>IF(원데이터!H140&lt;&gt;"",원데이터!H140/10,IF(원데이터!I140&lt;&gt;"",0.6108*EXP(17.27*원데이터!I140/(원데이터!I140+237.3)),원데이터!E140/100*F140))</f>
        <v/>
      </c>
      <c r="H140" s="21">
        <f>4098*(0.6108*EXP(17.27*C140/(C140+237.3)))/(C140+237.3)^2</f>
        <v/>
      </c>
      <c r="I140" s="17">
        <f>IF(원데이터!J140&lt;&gt;"",원데이터!J140/10,101.3*((293-0.0065*설정!$B$3)/293)^5.26)</f>
        <v/>
      </c>
      <c r="J140" s="21">
        <f>0.000665*I140</f>
        <v/>
      </c>
      <c r="K140" s="18">
        <f>원데이터!G140*4.87/LN(67.8*설정!$B$4-5.42)</f>
        <v/>
      </c>
      <c r="L140" s="12">
        <f>1+0.033*COS(2*PI()*B140/365)</f>
        <v/>
      </c>
      <c r="M140" s="21">
        <f>0.409*SIN(2*PI()*B140/365-1.39)</f>
        <v/>
      </c>
      <c r="N140" s="21">
        <f>ACOS(-TAN(RADIANS(설정!$B$2))*TAN(M140))</f>
        <v/>
      </c>
      <c r="O140" s="18">
        <f>(24*60/PI())*0.082*L140*(N140*SIN(RADIANS(설정!$B$2))*SIN(M140)+COS(RADIANS(설정!$B$2))*COS(M140)*SIN(N140))</f>
        <v/>
      </c>
      <c r="P140" s="18">
        <f>(0.75+0.00002*설정!$B$3)*O140</f>
        <v/>
      </c>
      <c r="Q140" s="18">
        <f>IF(원데이터!K140&lt;&gt;"",원데이터!K140,(0.25+0.5*원데이터!L140/(24/PI()*N140))*O140)</f>
        <v/>
      </c>
      <c r="R140" s="18">
        <f>0.77*Q140</f>
        <v/>
      </c>
      <c r="S140" s="18">
        <f>0.000000004903*(((원데이터!B140+273.16)^4+(원데이터!C140+273.16)^4)/2)*(0.34-0.14*SQRT(G140))*(1.35*MIN(Q140/P140,1)-0.35)</f>
        <v/>
      </c>
      <c r="T140" s="18">
        <f>R140-S140</f>
        <v/>
      </c>
      <c r="U140" s="18">
        <f>(0.408*H140*T140+J140*(900/(C140+273))*K140*(F140-G140))/(H140+J140*(1+0.34*K140))</f>
        <v/>
      </c>
      <c r="V140" s="11">
        <f>IF(원데이터!A140-설정!$B$16&lt;0,"발아전",IF(원데이터!A140-설정!$B$16&lt;설정!$B$17,"초기",IF(원데이터!A140-설정!$B$16&lt;설정!$B$17+설정!$B$18,"발육",IF(원데이터!A140-설정!$B$16&lt;설정!$B$17+설정!$B$18+설정!$B$19,"중기",IF(원데이터!A140-설정!$B$16&lt;설정!$B$17+설정!$B$18+설정!$B$19+설정!$B$20,"후기","후기이후")))))</f>
        <v/>
      </c>
      <c r="W140" s="12">
        <f>IF(원데이터!A140-설정!$B$16&lt;0,0,IF(원데이터!A140-설정!$B$16&lt;설정!$B$17,설정!$B$33,IF(원데이터!A140-설정!$B$16&lt;설정!$B$17+설정!$B$18,설정!$B$33+(설정!$B$34-설정!$B$33)*(원데이터!A140-설정!$B$16-설정!$B$17+1)/설정!$B$18,IF(원데이터!A140-설정!$B$16&lt;설정!$B$17+설정!$B$18+설정!$B$19,설정!$B$34,IF(원데이터!A140-설정!$B$16&lt;설정!$B$17+설정!$B$18+설정!$B$19+설정!$B$20,설정!$B$34+(설정!$B$35-설정!$B$34)*(원데이터!A140-설정!$B$16-설정!$B$17-설정!$B$18-설정!$B$19+1)/설정!$B$20,0)))))</f>
        <v/>
      </c>
      <c r="X140" s="12">
        <f>0.108-0.0286*K140+0.0422*LN(설정!$B$5)+0.1434*LN(원데이터!E140)-0.000631*LN(설정!$B$5)^2*LN(원데이터!E140)</f>
        <v/>
      </c>
      <c r="Y140" s="17">
        <f>원데이터!M140</f>
        <v/>
      </c>
      <c r="Z140" s="18">
        <f>X140*Y140</f>
        <v/>
      </c>
      <c r="AA140" s="18">
        <f>U140*W140</f>
        <v/>
      </c>
      <c r="AB140" s="18">
        <f>Z140*W140</f>
        <v/>
      </c>
    </row>
    <row r="141">
      <c r="A141" s="15">
        <f>원데이터!A141</f>
        <v/>
      </c>
      <c r="B141" s="14">
        <f>원데이터!A141-DATE(YEAR(원데이터!A141),1,1)+1</f>
        <v/>
      </c>
      <c r="C141" s="17">
        <f>(원데이터!B141+원데이터!C141)/2</f>
        <v/>
      </c>
      <c r="D141" s="12">
        <f>0.6108*EXP(17.27*원데이터!B141/(원데이터!B141+237.3))</f>
        <v/>
      </c>
      <c r="E141" s="12">
        <f>0.6108*EXP(17.27*원데이터!C141/(원데이터!C141+237.3))</f>
        <v/>
      </c>
      <c r="F141" s="12">
        <f>(D141+E141)/2</f>
        <v/>
      </c>
      <c r="G141" s="12">
        <f>IF(원데이터!H141&lt;&gt;"",원데이터!H141/10,IF(원데이터!I141&lt;&gt;"",0.6108*EXP(17.27*원데이터!I141/(원데이터!I141+237.3)),원데이터!E141/100*F141))</f>
        <v/>
      </c>
      <c r="H141" s="21">
        <f>4098*(0.6108*EXP(17.27*C141/(C141+237.3)))/(C141+237.3)^2</f>
        <v/>
      </c>
      <c r="I141" s="17">
        <f>IF(원데이터!J141&lt;&gt;"",원데이터!J141/10,101.3*((293-0.0065*설정!$B$3)/293)^5.26)</f>
        <v/>
      </c>
      <c r="J141" s="21">
        <f>0.000665*I141</f>
        <v/>
      </c>
      <c r="K141" s="18">
        <f>원데이터!G141*4.87/LN(67.8*설정!$B$4-5.42)</f>
        <v/>
      </c>
      <c r="L141" s="12">
        <f>1+0.033*COS(2*PI()*B141/365)</f>
        <v/>
      </c>
      <c r="M141" s="21">
        <f>0.409*SIN(2*PI()*B141/365-1.39)</f>
        <v/>
      </c>
      <c r="N141" s="21">
        <f>ACOS(-TAN(RADIANS(설정!$B$2))*TAN(M141))</f>
        <v/>
      </c>
      <c r="O141" s="18">
        <f>(24*60/PI())*0.082*L141*(N141*SIN(RADIANS(설정!$B$2))*SIN(M141)+COS(RADIANS(설정!$B$2))*COS(M141)*SIN(N141))</f>
        <v/>
      </c>
      <c r="P141" s="18">
        <f>(0.75+0.00002*설정!$B$3)*O141</f>
        <v/>
      </c>
      <c r="Q141" s="18">
        <f>IF(원데이터!K141&lt;&gt;"",원데이터!K141,(0.25+0.5*원데이터!L141/(24/PI()*N141))*O141)</f>
        <v/>
      </c>
      <c r="R141" s="18">
        <f>0.77*Q141</f>
        <v/>
      </c>
      <c r="S141" s="18">
        <f>0.000000004903*(((원데이터!B141+273.16)^4+(원데이터!C141+273.16)^4)/2)*(0.34-0.14*SQRT(G141))*(1.35*MIN(Q141/P141,1)-0.35)</f>
        <v/>
      </c>
      <c r="T141" s="18">
        <f>R141-S141</f>
        <v/>
      </c>
      <c r="U141" s="18">
        <f>(0.408*H141*T141+J141*(900/(C141+273))*K141*(F141-G141))/(H141+J141*(1+0.34*K141))</f>
        <v/>
      </c>
      <c r="V141" s="11">
        <f>IF(원데이터!A141-설정!$B$16&lt;0,"발아전",IF(원데이터!A141-설정!$B$16&lt;설정!$B$17,"초기",IF(원데이터!A141-설정!$B$16&lt;설정!$B$17+설정!$B$18,"발육",IF(원데이터!A141-설정!$B$16&lt;설정!$B$17+설정!$B$18+설정!$B$19,"중기",IF(원데이터!A141-설정!$B$16&lt;설정!$B$17+설정!$B$18+설정!$B$19+설정!$B$20,"후기","후기이후")))))</f>
        <v/>
      </c>
      <c r="W141" s="12">
        <f>IF(원데이터!A141-설정!$B$16&lt;0,0,IF(원데이터!A141-설정!$B$16&lt;설정!$B$17,설정!$B$33,IF(원데이터!A141-설정!$B$16&lt;설정!$B$17+설정!$B$18,설정!$B$33+(설정!$B$34-설정!$B$33)*(원데이터!A141-설정!$B$16-설정!$B$17+1)/설정!$B$18,IF(원데이터!A141-설정!$B$16&lt;설정!$B$17+설정!$B$18+설정!$B$19,설정!$B$34,IF(원데이터!A141-설정!$B$16&lt;설정!$B$17+설정!$B$18+설정!$B$19+설정!$B$20,설정!$B$34+(설정!$B$35-설정!$B$34)*(원데이터!A141-설정!$B$16-설정!$B$17-설정!$B$18-설정!$B$19+1)/설정!$B$20,0)))))</f>
        <v/>
      </c>
      <c r="X141" s="12">
        <f>0.108-0.0286*K141+0.0422*LN(설정!$B$5)+0.1434*LN(원데이터!E141)-0.000631*LN(설정!$B$5)^2*LN(원데이터!E141)</f>
        <v/>
      </c>
      <c r="Y141" s="17">
        <f>원데이터!M141</f>
        <v/>
      </c>
      <c r="Z141" s="18">
        <f>X141*Y141</f>
        <v/>
      </c>
      <c r="AA141" s="18">
        <f>U141*W141</f>
        <v/>
      </c>
      <c r="AB141" s="18">
        <f>Z141*W141</f>
        <v/>
      </c>
    </row>
    <row r="142">
      <c r="A142" s="15">
        <f>원데이터!A142</f>
        <v/>
      </c>
      <c r="B142" s="14">
        <f>원데이터!A142-DATE(YEAR(원데이터!A142),1,1)+1</f>
        <v/>
      </c>
      <c r="C142" s="17">
        <f>(원데이터!B142+원데이터!C142)/2</f>
        <v/>
      </c>
      <c r="D142" s="12">
        <f>0.6108*EXP(17.27*원데이터!B142/(원데이터!B142+237.3))</f>
        <v/>
      </c>
      <c r="E142" s="12">
        <f>0.6108*EXP(17.27*원데이터!C142/(원데이터!C142+237.3))</f>
        <v/>
      </c>
      <c r="F142" s="12">
        <f>(D142+E142)/2</f>
        <v/>
      </c>
      <c r="G142" s="12">
        <f>IF(원데이터!H142&lt;&gt;"",원데이터!H142/10,IF(원데이터!I142&lt;&gt;"",0.6108*EXP(17.27*원데이터!I142/(원데이터!I142+237.3)),원데이터!E142/100*F142))</f>
        <v/>
      </c>
      <c r="H142" s="21">
        <f>4098*(0.6108*EXP(17.27*C142/(C142+237.3)))/(C142+237.3)^2</f>
        <v/>
      </c>
      <c r="I142" s="17">
        <f>IF(원데이터!J142&lt;&gt;"",원데이터!J142/10,101.3*((293-0.0065*설정!$B$3)/293)^5.26)</f>
        <v/>
      </c>
      <c r="J142" s="21">
        <f>0.000665*I142</f>
        <v/>
      </c>
      <c r="K142" s="18">
        <f>원데이터!G142*4.87/LN(67.8*설정!$B$4-5.42)</f>
        <v/>
      </c>
      <c r="L142" s="12">
        <f>1+0.033*COS(2*PI()*B142/365)</f>
        <v/>
      </c>
      <c r="M142" s="21">
        <f>0.409*SIN(2*PI()*B142/365-1.39)</f>
        <v/>
      </c>
      <c r="N142" s="21">
        <f>ACOS(-TAN(RADIANS(설정!$B$2))*TAN(M142))</f>
        <v/>
      </c>
      <c r="O142" s="18">
        <f>(24*60/PI())*0.082*L142*(N142*SIN(RADIANS(설정!$B$2))*SIN(M142)+COS(RADIANS(설정!$B$2))*COS(M142)*SIN(N142))</f>
        <v/>
      </c>
      <c r="P142" s="18">
        <f>(0.75+0.00002*설정!$B$3)*O142</f>
        <v/>
      </c>
      <c r="Q142" s="18">
        <f>IF(원데이터!K142&lt;&gt;"",원데이터!K142,(0.25+0.5*원데이터!L142/(24/PI()*N142))*O142)</f>
        <v/>
      </c>
      <c r="R142" s="18">
        <f>0.77*Q142</f>
        <v/>
      </c>
      <c r="S142" s="18">
        <f>0.000000004903*(((원데이터!B142+273.16)^4+(원데이터!C142+273.16)^4)/2)*(0.34-0.14*SQRT(G142))*(1.35*MIN(Q142/P142,1)-0.35)</f>
        <v/>
      </c>
      <c r="T142" s="18">
        <f>R142-S142</f>
        <v/>
      </c>
      <c r="U142" s="18">
        <f>(0.408*H142*T142+J142*(900/(C142+273))*K142*(F142-G142))/(H142+J142*(1+0.34*K142))</f>
        <v/>
      </c>
      <c r="V142" s="11">
        <f>IF(원데이터!A142-설정!$B$16&lt;0,"발아전",IF(원데이터!A142-설정!$B$16&lt;설정!$B$17,"초기",IF(원데이터!A142-설정!$B$16&lt;설정!$B$17+설정!$B$18,"발육",IF(원데이터!A142-설정!$B$16&lt;설정!$B$17+설정!$B$18+설정!$B$19,"중기",IF(원데이터!A142-설정!$B$16&lt;설정!$B$17+설정!$B$18+설정!$B$19+설정!$B$20,"후기","후기이후")))))</f>
        <v/>
      </c>
      <c r="W142" s="12">
        <f>IF(원데이터!A142-설정!$B$16&lt;0,0,IF(원데이터!A142-설정!$B$16&lt;설정!$B$17,설정!$B$33,IF(원데이터!A142-설정!$B$16&lt;설정!$B$17+설정!$B$18,설정!$B$33+(설정!$B$34-설정!$B$33)*(원데이터!A142-설정!$B$16-설정!$B$17+1)/설정!$B$18,IF(원데이터!A142-설정!$B$16&lt;설정!$B$17+설정!$B$18+설정!$B$19,설정!$B$34,IF(원데이터!A142-설정!$B$16&lt;설정!$B$17+설정!$B$18+설정!$B$19+설정!$B$20,설정!$B$34+(설정!$B$35-설정!$B$34)*(원데이터!A142-설정!$B$16-설정!$B$17-설정!$B$18-설정!$B$19+1)/설정!$B$20,0)))))</f>
        <v/>
      </c>
      <c r="X142" s="12">
        <f>0.108-0.0286*K142+0.0422*LN(설정!$B$5)+0.1434*LN(원데이터!E142)-0.000631*LN(설정!$B$5)^2*LN(원데이터!E142)</f>
        <v/>
      </c>
      <c r="Y142" s="17">
        <f>원데이터!M142</f>
        <v/>
      </c>
      <c r="Z142" s="18">
        <f>X142*Y142</f>
        <v/>
      </c>
      <c r="AA142" s="18">
        <f>U142*W142</f>
        <v/>
      </c>
      <c r="AB142" s="18">
        <f>Z142*W142</f>
        <v/>
      </c>
    </row>
    <row r="143">
      <c r="A143" s="15">
        <f>원데이터!A143</f>
        <v/>
      </c>
      <c r="B143" s="14">
        <f>원데이터!A143-DATE(YEAR(원데이터!A143),1,1)+1</f>
        <v/>
      </c>
      <c r="C143" s="17">
        <f>(원데이터!B143+원데이터!C143)/2</f>
        <v/>
      </c>
      <c r="D143" s="12">
        <f>0.6108*EXP(17.27*원데이터!B143/(원데이터!B143+237.3))</f>
        <v/>
      </c>
      <c r="E143" s="12">
        <f>0.6108*EXP(17.27*원데이터!C143/(원데이터!C143+237.3))</f>
        <v/>
      </c>
      <c r="F143" s="12">
        <f>(D143+E143)/2</f>
        <v/>
      </c>
      <c r="G143" s="12">
        <f>IF(원데이터!H143&lt;&gt;"",원데이터!H143/10,IF(원데이터!I143&lt;&gt;"",0.6108*EXP(17.27*원데이터!I143/(원데이터!I143+237.3)),원데이터!E143/100*F143))</f>
        <v/>
      </c>
      <c r="H143" s="21">
        <f>4098*(0.6108*EXP(17.27*C143/(C143+237.3)))/(C143+237.3)^2</f>
        <v/>
      </c>
      <c r="I143" s="17">
        <f>IF(원데이터!J143&lt;&gt;"",원데이터!J143/10,101.3*((293-0.0065*설정!$B$3)/293)^5.26)</f>
        <v/>
      </c>
      <c r="J143" s="21">
        <f>0.000665*I143</f>
        <v/>
      </c>
      <c r="K143" s="18">
        <f>원데이터!G143*4.87/LN(67.8*설정!$B$4-5.42)</f>
        <v/>
      </c>
      <c r="L143" s="12">
        <f>1+0.033*COS(2*PI()*B143/365)</f>
        <v/>
      </c>
      <c r="M143" s="21">
        <f>0.409*SIN(2*PI()*B143/365-1.39)</f>
        <v/>
      </c>
      <c r="N143" s="21">
        <f>ACOS(-TAN(RADIANS(설정!$B$2))*TAN(M143))</f>
        <v/>
      </c>
      <c r="O143" s="18">
        <f>(24*60/PI())*0.082*L143*(N143*SIN(RADIANS(설정!$B$2))*SIN(M143)+COS(RADIANS(설정!$B$2))*COS(M143)*SIN(N143))</f>
        <v/>
      </c>
      <c r="P143" s="18">
        <f>(0.75+0.00002*설정!$B$3)*O143</f>
        <v/>
      </c>
      <c r="Q143" s="18">
        <f>IF(원데이터!K143&lt;&gt;"",원데이터!K143,(0.25+0.5*원데이터!L143/(24/PI()*N143))*O143)</f>
        <v/>
      </c>
      <c r="R143" s="18">
        <f>0.77*Q143</f>
        <v/>
      </c>
      <c r="S143" s="18">
        <f>0.000000004903*(((원데이터!B143+273.16)^4+(원데이터!C143+273.16)^4)/2)*(0.34-0.14*SQRT(G143))*(1.35*MIN(Q143/P143,1)-0.35)</f>
        <v/>
      </c>
      <c r="T143" s="18">
        <f>R143-S143</f>
        <v/>
      </c>
      <c r="U143" s="18">
        <f>(0.408*H143*T143+J143*(900/(C143+273))*K143*(F143-G143))/(H143+J143*(1+0.34*K143))</f>
        <v/>
      </c>
      <c r="V143" s="11">
        <f>IF(원데이터!A143-설정!$B$16&lt;0,"발아전",IF(원데이터!A143-설정!$B$16&lt;설정!$B$17,"초기",IF(원데이터!A143-설정!$B$16&lt;설정!$B$17+설정!$B$18,"발육",IF(원데이터!A143-설정!$B$16&lt;설정!$B$17+설정!$B$18+설정!$B$19,"중기",IF(원데이터!A143-설정!$B$16&lt;설정!$B$17+설정!$B$18+설정!$B$19+설정!$B$20,"후기","후기이후")))))</f>
        <v/>
      </c>
      <c r="W143" s="12">
        <f>IF(원데이터!A143-설정!$B$16&lt;0,0,IF(원데이터!A143-설정!$B$16&lt;설정!$B$17,설정!$B$33,IF(원데이터!A143-설정!$B$16&lt;설정!$B$17+설정!$B$18,설정!$B$33+(설정!$B$34-설정!$B$33)*(원데이터!A143-설정!$B$16-설정!$B$17+1)/설정!$B$18,IF(원데이터!A143-설정!$B$16&lt;설정!$B$17+설정!$B$18+설정!$B$19,설정!$B$34,IF(원데이터!A143-설정!$B$16&lt;설정!$B$17+설정!$B$18+설정!$B$19+설정!$B$20,설정!$B$34+(설정!$B$35-설정!$B$34)*(원데이터!A143-설정!$B$16-설정!$B$17-설정!$B$18-설정!$B$19+1)/설정!$B$20,0)))))</f>
        <v/>
      </c>
      <c r="X143" s="12">
        <f>0.108-0.0286*K143+0.0422*LN(설정!$B$5)+0.1434*LN(원데이터!E143)-0.000631*LN(설정!$B$5)^2*LN(원데이터!E143)</f>
        <v/>
      </c>
      <c r="Y143" s="17">
        <f>원데이터!M143</f>
        <v/>
      </c>
      <c r="Z143" s="18">
        <f>X143*Y143</f>
        <v/>
      </c>
      <c r="AA143" s="18">
        <f>U143*W143</f>
        <v/>
      </c>
      <c r="AB143" s="18">
        <f>Z143*W143</f>
        <v/>
      </c>
    </row>
    <row r="144">
      <c r="A144" s="15">
        <f>원데이터!A144</f>
        <v/>
      </c>
      <c r="B144" s="14">
        <f>원데이터!A144-DATE(YEAR(원데이터!A144),1,1)+1</f>
        <v/>
      </c>
      <c r="C144" s="17">
        <f>(원데이터!B144+원데이터!C144)/2</f>
        <v/>
      </c>
      <c r="D144" s="12">
        <f>0.6108*EXP(17.27*원데이터!B144/(원데이터!B144+237.3))</f>
        <v/>
      </c>
      <c r="E144" s="12">
        <f>0.6108*EXP(17.27*원데이터!C144/(원데이터!C144+237.3))</f>
        <v/>
      </c>
      <c r="F144" s="12">
        <f>(D144+E144)/2</f>
        <v/>
      </c>
      <c r="G144" s="12">
        <f>IF(원데이터!H144&lt;&gt;"",원데이터!H144/10,IF(원데이터!I144&lt;&gt;"",0.6108*EXP(17.27*원데이터!I144/(원데이터!I144+237.3)),원데이터!E144/100*F144))</f>
        <v/>
      </c>
      <c r="H144" s="21">
        <f>4098*(0.6108*EXP(17.27*C144/(C144+237.3)))/(C144+237.3)^2</f>
        <v/>
      </c>
      <c r="I144" s="17">
        <f>IF(원데이터!J144&lt;&gt;"",원데이터!J144/10,101.3*((293-0.0065*설정!$B$3)/293)^5.26)</f>
        <v/>
      </c>
      <c r="J144" s="21">
        <f>0.000665*I144</f>
        <v/>
      </c>
      <c r="K144" s="18">
        <f>원데이터!G144*4.87/LN(67.8*설정!$B$4-5.42)</f>
        <v/>
      </c>
      <c r="L144" s="12">
        <f>1+0.033*COS(2*PI()*B144/365)</f>
        <v/>
      </c>
      <c r="M144" s="21">
        <f>0.409*SIN(2*PI()*B144/365-1.39)</f>
        <v/>
      </c>
      <c r="N144" s="21">
        <f>ACOS(-TAN(RADIANS(설정!$B$2))*TAN(M144))</f>
        <v/>
      </c>
      <c r="O144" s="18">
        <f>(24*60/PI())*0.082*L144*(N144*SIN(RADIANS(설정!$B$2))*SIN(M144)+COS(RADIANS(설정!$B$2))*COS(M144)*SIN(N144))</f>
        <v/>
      </c>
      <c r="P144" s="18">
        <f>(0.75+0.00002*설정!$B$3)*O144</f>
        <v/>
      </c>
      <c r="Q144" s="18">
        <f>IF(원데이터!K144&lt;&gt;"",원데이터!K144,(0.25+0.5*원데이터!L144/(24/PI()*N144))*O144)</f>
        <v/>
      </c>
      <c r="R144" s="18">
        <f>0.77*Q144</f>
        <v/>
      </c>
      <c r="S144" s="18">
        <f>0.000000004903*(((원데이터!B144+273.16)^4+(원데이터!C144+273.16)^4)/2)*(0.34-0.14*SQRT(G144))*(1.35*MIN(Q144/P144,1)-0.35)</f>
        <v/>
      </c>
      <c r="T144" s="18">
        <f>R144-S144</f>
        <v/>
      </c>
      <c r="U144" s="18">
        <f>(0.408*H144*T144+J144*(900/(C144+273))*K144*(F144-G144))/(H144+J144*(1+0.34*K144))</f>
        <v/>
      </c>
      <c r="V144" s="11">
        <f>IF(원데이터!A144-설정!$B$16&lt;0,"발아전",IF(원데이터!A144-설정!$B$16&lt;설정!$B$17,"초기",IF(원데이터!A144-설정!$B$16&lt;설정!$B$17+설정!$B$18,"발육",IF(원데이터!A144-설정!$B$16&lt;설정!$B$17+설정!$B$18+설정!$B$19,"중기",IF(원데이터!A144-설정!$B$16&lt;설정!$B$17+설정!$B$18+설정!$B$19+설정!$B$20,"후기","후기이후")))))</f>
        <v/>
      </c>
      <c r="W144" s="12">
        <f>IF(원데이터!A144-설정!$B$16&lt;0,0,IF(원데이터!A144-설정!$B$16&lt;설정!$B$17,설정!$B$33,IF(원데이터!A144-설정!$B$16&lt;설정!$B$17+설정!$B$18,설정!$B$33+(설정!$B$34-설정!$B$33)*(원데이터!A144-설정!$B$16-설정!$B$17+1)/설정!$B$18,IF(원데이터!A144-설정!$B$16&lt;설정!$B$17+설정!$B$18+설정!$B$19,설정!$B$34,IF(원데이터!A144-설정!$B$16&lt;설정!$B$17+설정!$B$18+설정!$B$19+설정!$B$20,설정!$B$34+(설정!$B$35-설정!$B$34)*(원데이터!A144-설정!$B$16-설정!$B$17-설정!$B$18-설정!$B$19+1)/설정!$B$20,0)))))</f>
        <v/>
      </c>
      <c r="X144" s="12">
        <f>0.108-0.0286*K144+0.0422*LN(설정!$B$5)+0.1434*LN(원데이터!E144)-0.000631*LN(설정!$B$5)^2*LN(원데이터!E144)</f>
        <v/>
      </c>
      <c r="Y144" s="17">
        <f>원데이터!M144</f>
        <v/>
      </c>
      <c r="Z144" s="18">
        <f>X144*Y144</f>
        <v/>
      </c>
      <c r="AA144" s="18">
        <f>U144*W144</f>
        <v/>
      </c>
      <c r="AB144" s="18">
        <f>Z144*W144</f>
        <v/>
      </c>
    </row>
    <row r="145">
      <c r="A145" s="15">
        <f>원데이터!A145</f>
        <v/>
      </c>
      <c r="B145" s="14">
        <f>원데이터!A145-DATE(YEAR(원데이터!A145),1,1)+1</f>
        <v/>
      </c>
      <c r="C145" s="17">
        <f>(원데이터!B145+원데이터!C145)/2</f>
        <v/>
      </c>
      <c r="D145" s="12">
        <f>0.6108*EXP(17.27*원데이터!B145/(원데이터!B145+237.3))</f>
        <v/>
      </c>
      <c r="E145" s="12">
        <f>0.6108*EXP(17.27*원데이터!C145/(원데이터!C145+237.3))</f>
        <v/>
      </c>
      <c r="F145" s="12">
        <f>(D145+E145)/2</f>
        <v/>
      </c>
      <c r="G145" s="12">
        <f>IF(원데이터!H145&lt;&gt;"",원데이터!H145/10,IF(원데이터!I145&lt;&gt;"",0.6108*EXP(17.27*원데이터!I145/(원데이터!I145+237.3)),원데이터!E145/100*F145))</f>
        <v/>
      </c>
      <c r="H145" s="21">
        <f>4098*(0.6108*EXP(17.27*C145/(C145+237.3)))/(C145+237.3)^2</f>
        <v/>
      </c>
      <c r="I145" s="17">
        <f>IF(원데이터!J145&lt;&gt;"",원데이터!J145/10,101.3*((293-0.0065*설정!$B$3)/293)^5.26)</f>
        <v/>
      </c>
      <c r="J145" s="21">
        <f>0.000665*I145</f>
        <v/>
      </c>
      <c r="K145" s="18">
        <f>원데이터!G145*4.87/LN(67.8*설정!$B$4-5.42)</f>
        <v/>
      </c>
      <c r="L145" s="12">
        <f>1+0.033*COS(2*PI()*B145/365)</f>
        <v/>
      </c>
      <c r="M145" s="21">
        <f>0.409*SIN(2*PI()*B145/365-1.39)</f>
        <v/>
      </c>
      <c r="N145" s="21">
        <f>ACOS(-TAN(RADIANS(설정!$B$2))*TAN(M145))</f>
        <v/>
      </c>
      <c r="O145" s="18">
        <f>(24*60/PI())*0.082*L145*(N145*SIN(RADIANS(설정!$B$2))*SIN(M145)+COS(RADIANS(설정!$B$2))*COS(M145)*SIN(N145))</f>
        <v/>
      </c>
      <c r="P145" s="18">
        <f>(0.75+0.00002*설정!$B$3)*O145</f>
        <v/>
      </c>
      <c r="Q145" s="18">
        <f>IF(원데이터!K145&lt;&gt;"",원데이터!K145,(0.25+0.5*원데이터!L145/(24/PI()*N145))*O145)</f>
        <v/>
      </c>
      <c r="R145" s="18">
        <f>0.77*Q145</f>
        <v/>
      </c>
      <c r="S145" s="18">
        <f>0.000000004903*(((원데이터!B145+273.16)^4+(원데이터!C145+273.16)^4)/2)*(0.34-0.14*SQRT(G145))*(1.35*MIN(Q145/P145,1)-0.35)</f>
        <v/>
      </c>
      <c r="T145" s="18">
        <f>R145-S145</f>
        <v/>
      </c>
      <c r="U145" s="18">
        <f>(0.408*H145*T145+J145*(900/(C145+273))*K145*(F145-G145))/(H145+J145*(1+0.34*K145))</f>
        <v/>
      </c>
      <c r="V145" s="11">
        <f>IF(원데이터!A145-설정!$B$16&lt;0,"발아전",IF(원데이터!A145-설정!$B$16&lt;설정!$B$17,"초기",IF(원데이터!A145-설정!$B$16&lt;설정!$B$17+설정!$B$18,"발육",IF(원데이터!A145-설정!$B$16&lt;설정!$B$17+설정!$B$18+설정!$B$19,"중기",IF(원데이터!A145-설정!$B$16&lt;설정!$B$17+설정!$B$18+설정!$B$19+설정!$B$20,"후기","후기이후")))))</f>
        <v/>
      </c>
      <c r="W145" s="12">
        <f>IF(원데이터!A145-설정!$B$16&lt;0,0,IF(원데이터!A145-설정!$B$16&lt;설정!$B$17,설정!$B$33,IF(원데이터!A145-설정!$B$16&lt;설정!$B$17+설정!$B$18,설정!$B$33+(설정!$B$34-설정!$B$33)*(원데이터!A145-설정!$B$16-설정!$B$17+1)/설정!$B$18,IF(원데이터!A145-설정!$B$16&lt;설정!$B$17+설정!$B$18+설정!$B$19,설정!$B$34,IF(원데이터!A145-설정!$B$16&lt;설정!$B$17+설정!$B$18+설정!$B$19+설정!$B$20,설정!$B$34+(설정!$B$35-설정!$B$34)*(원데이터!A145-설정!$B$16-설정!$B$17-설정!$B$18-설정!$B$19+1)/설정!$B$20,0)))))</f>
        <v/>
      </c>
      <c r="X145" s="12">
        <f>0.108-0.0286*K145+0.0422*LN(설정!$B$5)+0.1434*LN(원데이터!E145)-0.000631*LN(설정!$B$5)^2*LN(원데이터!E145)</f>
        <v/>
      </c>
      <c r="Y145" s="17">
        <f>원데이터!M145</f>
        <v/>
      </c>
      <c r="Z145" s="18">
        <f>X145*Y145</f>
        <v/>
      </c>
      <c r="AA145" s="18">
        <f>U145*W145</f>
        <v/>
      </c>
      <c r="AB145" s="18">
        <f>Z145*W145</f>
        <v/>
      </c>
    </row>
    <row r="146">
      <c r="A146" s="15">
        <f>원데이터!A146</f>
        <v/>
      </c>
      <c r="B146" s="14">
        <f>원데이터!A146-DATE(YEAR(원데이터!A146),1,1)+1</f>
        <v/>
      </c>
      <c r="C146" s="17">
        <f>(원데이터!B146+원데이터!C146)/2</f>
        <v/>
      </c>
      <c r="D146" s="12">
        <f>0.6108*EXP(17.27*원데이터!B146/(원데이터!B146+237.3))</f>
        <v/>
      </c>
      <c r="E146" s="12">
        <f>0.6108*EXP(17.27*원데이터!C146/(원데이터!C146+237.3))</f>
        <v/>
      </c>
      <c r="F146" s="12">
        <f>(D146+E146)/2</f>
        <v/>
      </c>
      <c r="G146" s="12">
        <f>IF(원데이터!H146&lt;&gt;"",원데이터!H146/10,IF(원데이터!I146&lt;&gt;"",0.6108*EXP(17.27*원데이터!I146/(원데이터!I146+237.3)),원데이터!E146/100*F146))</f>
        <v/>
      </c>
      <c r="H146" s="21">
        <f>4098*(0.6108*EXP(17.27*C146/(C146+237.3)))/(C146+237.3)^2</f>
        <v/>
      </c>
      <c r="I146" s="17">
        <f>IF(원데이터!J146&lt;&gt;"",원데이터!J146/10,101.3*((293-0.0065*설정!$B$3)/293)^5.26)</f>
        <v/>
      </c>
      <c r="J146" s="21">
        <f>0.000665*I146</f>
        <v/>
      </c>
      <c r="K146" s="18">
        <f>원데이터!G146*4.87/LN(67.8*설정!$B$4-5.42)</f>
        <v/>
      </c>
      <c r="L146" s="12">
        <f>1+0.033*COS(2*PI()*B146/365)</f>
        <v/>
      </c>
      <c r="M146" s="21">
        <f>0.409*SIN(2*PI()*B146/365-1.39)</f>
        <v/>
      </c>
      <c r="N146" s="21">
        <f>ACOS(-TAN(RADIANS(설정!$B$2))*TAN(M146))</f>
        <v/>
      </c>
      <c r="O146" s="18">
        <f>(24*60/PI())*0.082*L146*(N146*SIN(RADIANS(설정!$B$2))*SIN(M146)+COS(RADIANS(설정!$B$2))*COS(M146)*SIN(N146))</f>
        <v/>
      </c>
      <c r="P146" s="18">
        <f>(0.75+0.00002*설정!$B$3)*O146</f>
        <v/>
      </c>
      <c r="Q146" s="18">
        <f>IF(원데이터!K146&lt;&gt;"",원데이터!K146,(0.25+0.5*원데이터!L146/(24/PI()*N146))*O146)</f>
        <v/>
      </c>
      <c r="R146" s="18">
        <f>0.77*Q146</f>
        <v/>
      </c>
      <c r="S146" s="18">
        <f>0.000000004903*(((원데이터!B146+273.16)^4+(원데이터!C146+273.16)^4)/2)*(0.34-0.14*SQRT(G146))*(1.35*MIN(Q146/P146,1)-0.35)</f>
        <v/>
      </c>
      <c r="T146" s="18">
        <f>R146-S146</f>
        <v/>
      </c>
      <c r="U146" s="18">
        <f>(0.408*H146*T146+J146*(900/(C146+273))*K146*(F146-G146))/(H146+J146*(1+0.34*K146))</f>
        <v/>
      </c>
      <c r="V146" s="11">
        <f>IF(원데이터!A146-설정!$B$16&lt;0,"발아전",IF(원데이터!A146-설정!$B$16&lt;설정!$B$17,"초기",IF(원데이터!A146-설정!$B$16&lt;설정!$B$17+설정!$B$18,"발육",IF(원데이터!A146-설정!$B$16&lt;설정!$B$17+설정!$B$18+설정!$B$19,"중기",IF(원데이터!A146-설정!$B$16&lt;설정!$B$17+설정!$B$18+설정!$B$19+설정!$B$20,"후기","후기이후")))))</f>
        <v/>
      </c>
      <c r="W146" s="12">
        <f>IF(원데이터!A146-설정!$B$16&lt;0,0,IF(원데이터!A146-설정!$B$16&lt;설정!$B$17,설정!$B$33,IF(원데이터!A146-설정!$B$16&lt;설정!$B$17+설정!$B$18,설정!$B$33+(설정!$B$34-설정!$B$33)*(원데이터!A146-설정!$B$16-설정!$B$17+1)/설정!$B$18,IF(원데이터!A146-설정!$B$16&lt;설정!$B$17+설정!$B$18+설정!$B$19,설정!$B$34,IF(원데이터!A146-설정!$B$16&lt;설정!$B$17+설정!$B$18+설정!$B$19+설정!$B$20,설정!$B$34+(설정!$B$35-설정!$B$34)*(원데이터!A146-설정!$B$16-설정!$B$17-설정!$B$18-설정!$B$19+1)/설정!$B$20,0)))))</f>
        <v/>
      </c>
      <c r="X146" s="12">
        <f>0.108-0.0286*K146+0.0422*LN(설정!$B$5)+0.1434*LN(원데이터!E146)-0.000631*LN(설정!$B$5)^2*LN(원데이터!E146)</f>
        <v/>
      </c>
      <c r="Y146" s="17">
        <f>원데이터!M146</f>
        <v/>
      </c>
      <c r="Z146" s="18">
        <f>X146*Y146</f>
        <v/>
      </c>
      <c r="AA146" s="18">
        <f>U146*W146</f>
        <v/>
      </c>
      <c r="AB146" s="18">
        <f>Z146*W146</f>
        <v/>
      </c>
    </row>
    <row r="147">
      <c r="A147" s="15">
        <f>원데이터!A147</f>
        <v/>
      </c>
      <c r="B147" s="14">
        <f>원데이터!A147-DATE(YEAR(원데이터!A147),1,1)+1</f>
        <v/>
      </c>
      <c r="C147" s="17">
        <f>(원데이터!B147+원데이터!C147)/2</f>
        <v/>
      </c>
      <c r="D147" s="12">
        <f>0.6108*EXP(17.27*원데이터!B147/(원데이터!B147+237.3))</f>
        <v/>
      </c>
      <c r="E147" s="12">
        <f>0.6108*EXP(17.27*원데이터!C147/(원데이터!C147+237.3))</f>
        <v/>
      </c>
      <c r="F147" s="12">
        <f>(D147+E147)/2</f>
        <v/>
      </c>
      <c r="G147" s="12">
        <f>IF(원데이터!H147&lt;&gt;"",원데이터!H147/10,IF(원데이터!I147&lt;&gt;"",0.6108*EXP(17.27*원데이터!I147/(원데이터!I147+237.3)),원데이터!E147/100*F147))</f>
        <v/>
      </c>
      <c r="H147" s="21">
        <f>4098*(0.6108*EXP(17.27*C147/(C147+237.3)))/(C147+237.3)^2</f>
        <v/>
      </c>
      <c r="I147" s="17">
        <f>IF(원데이터!J147&lt;&gt;"",원데이터!J147/10,101.3*((293-0.0065*설정!$B$3)/293)^5.26)</f>
        <v/>
      </c>
      <c r="J147" s="21">
        <f>0.000665*I147</f>
        <v/>
      </c>
      <c r="K147" s="18">
        <f>원데이터!G147*4.87/LN(67.8*설정!$B$4-5.42)</f>
        <v/>
      </c>
      <c r="L147" s="12">
        <f>1+0.033*COS(2*PI()*B147/365)</f>
        <v/>
      </c>
      <c r="M147" s="21">
        <f>0.409*SIN(2*PI()*B147/365-1.39)</f>
        <v/>
      </c>
      <c r="N147" s="21">
        <f>ACOS(-TAN(RADIANS(설정!$B$2))*TAN(M147))</f>
        <v/>
      </c>
      <c r="O147" s="18">
        <f>(24*60/PI())*0.082*L147*(N147*SIN(RADIANS(설정!$B$2))*SIN(M147)+COS(RADIANS(설정!$B$2))*COS(M147)*SIN(N147))</f>
        <v/>
      </c>
      <c r="P147" s="18">
        <f>(0.75+0.00002*설정!$B$3)*O147</f>
        <v/>
      </c>
      <c r="Q147" s="18">
        <f>IF(원데이터!K147&lt;&gt;"",원데이터!K147,(0.25+0.5*원데이터!L147/(24/PI()*N147))*O147)</f>
        <v/>
      </c>
      <c r="R147" s="18">
        <f>0.77*Q147</f>
        <v/>
      </c>
      <c r="S147" s="18">
        <f>0.000000004903*(((원데이터!B147+273.16)^4+(원데이터!C147+273.16)^4)/2)*(0.34-0.14*SQRT(G147))*(1.35*MIN(Q147/P147,1)-0.35)</f>
        <v/>
      </c>
      <c r="T147" s="18">
        <f>R147-S147</f>
        <v/>
      </c>
      <c r="U147" s="18">
        <f>(0.408*H147*T147+J147*(900/(C147+273))*K147*(F147-G147))/(H147+J147*(1+0.34*K147))</f>
        <v/>
      </c>
      <c r="V147" s="11">
        <f>IF(원데이터!A147-설정!$B$16&lt;0,"발아전",IF(원데이터!A147-설정!$B$16&lt;설정!$B$17,"초기",IF(원데이터!A147-설정!$B$16&lt;설정!$B$17+설정!$B$18,"발육",IF(원데이터!A147-설정!$B$16&lt;설정!$B$17+설정!$B$18+설정!$B$19,"중기",IF(원데이터!A147-설정!$B$16&lt;설정!$B$17+설정!$B$18+설정!$B$19+설정!$B$20,"후기","후기이후")))))</f>
        <v/>
      </c>
      <c r="W147" s="12">
        <f>IF(원데이터!A147-설정!$B$16&lt;0,0,IF(원데이터!A147-설정!$B$16&lt;설정!$B$17,설정!$B$33,IF(원데이터!A147-설정!$B$16&lt;설정!$B$17+설정!$B$18,설정!$B$33+(설정!$B$34-설정!$B$33)*(원데이터!A147-설정!$B$16-설정!$B$17+1)/설정!$B$18,IF(원데이터!A147-설정!$B$16&lt;설정!$B$17+설정!$B$18+설정!$B$19,설정!$B$34,IF(원데이터!A147-설정!$B$16&lt;설정!$B$17+설정!$B$18+설정!$B$19+설정!$B$20,설정!$B$34+(설정!$B$35-설정!$B$34)*(원데이터!A147-설정!$B$16-설정!$B$17-설정!$B$18-설정!$B$19+1)/설정!$B$20,0)))))</f>
        <v/>
      </c>
      <c r="X147" s="12">
        <f>0.108-0.0286*K147+0.0422*LN(설정!$B$5)+0.1434*LN(원데이터!E147)-0.000631*LN(설정!$B$5)^2*LN(원데이터!E147)</f>
        <v/>
      </c>
      <c r="Y147" s="17">
        <f>원데이터!M147</f>
        <v/>
      </c>
      <c r="Z147" s="18">
        <f>X147*Y147</f>
        <v/>
      </c>
      <c r="AA147" s="18">
        <f>U147*W147</f>
        <v/>
      </c>
      <c r="AB147" s="18">
        <f>Z147*W147</f>
        <v/>
      </c>
    </row>
    <row r="148">
      <c r="A148" s="15">
        <f>원데이터!A148</f>
        <v/>
      </c>
      <c r="B148" s="14">
        <f>원데이터!A148-DATE(YEAR(원데이터!A148),1,1)+1</f>
        <v/>
      </c>
      <c r="C148" s="17">
        <f>(원데이터!B148+원데이터!C148)/2</f>
        <v/>
      </c>
      <c r="D148" s="12">
        <f>0.6108*EXP(17.27*원데이터!B148/(원데이터!B148+237.3))</f>
        <v/>
      </c>
      <c r="E148" s="12">
        <f>0.6108*EXP(17.27*원데이터!C148/(원데이터!C148+237.3))</f>
        <v/>
      </c>
      <c r="F148" s="12">
        <f>(D148+E148)/2</f>
        <v/>
      </c>
      <c r="G148" s="12">
        <f>IF(원데이터!H148&lt;&gt;"",원데이터!H148/10,IF(원데이터!I148&lt;&gt;"",0.6108*EXP(17.27*원데이터!I148/(원데이터!I148+237.3)),원데이터!E148/100*F148))</f>
        <v/>
      </c>
      <c r="H148" s="21">
        <f>4098*(0.6108*EXP(17.27*C148/(C148+237.3)))/(C148+237.3)^2</f>
        <v/>
      </c>
      <c r="I148" s="17">
        <f>IF(원데이터!J148&lt;&gt;"",원데이터!J148/10,101.3*((293-0.0065*설정!$B$3)/293)^5.26)</f>
        <v/>
      </c>
      <c r="J148" s="21">
        <f>0.000665*I148</f>
        <v/>
      </c>
      <c r="K148" s="18">
        <f>원데이터!G148*4.87/LN(67.8*설정!$B$4-5.42)</f>
        <v/>
      </c>
      <c r="L148" s="12">
        <f>1+0.033*COS(2*PI()*B148/365)</f>
        <v/>
      </c>
      <c r="M148" s="21">
        <f>0.409*SIN(2*PI()*B148/365-1.39)</f>
        <v/>
      </c>
      <c r="N148" s="21">
        <f>ACOS(-TAN(RADIANS(설정!$B$2))*TAN(M148))</f>
        <v/>
      </c>
      <c r="O148" s="18">
        <f>(24*60/PI())*0.082*L148*(N148*SIN(RADIANS(설정!$B$2))*SIN(M148)+COS(RADIANS(설정!$B$2))*COS(M148)*SIN(N148))</f>
        <v/>
      </c>
      <c r="P148" s="18">
        <f>(0.75+0.00002*설정!$B$3)*O148</f>
        <v/>
      </c>
      <c r="Q148" s="18">
        <f>IF(원데이터!K148&lt;&gt;"",원데이터!K148,(0.25+0.5*원데이터!L148/(24/PI()*N148))*O148)</f>
        <v/>
      </c>
      <c r="R148" s="18">
        <f>0.77*Q148</f>
        <v/>
      </c>
      <c r="S148" s="18">
        <f>0.000000004903*(((원데이터!B148+273.16)^4+(원데이터!C148+273.16)^4)/2)*(0.34-0.14*SQRT(G148))*(1.35*MIN(Q148/P148,1)-0.35)</f>
        <v/>
      </c>
      <c r="T148" s="18">
        <f>R148-S148</f>
        <v/>
      </c>
      <c r="U148" s="18">
        <f>(0.408*H148*T148+J148*(900/(C148+273))*K148*(F148-G148))/(H148+J148*(1+0.34*K148))</f>
        <v/>
      </c>
      <c r="V148" s="11">
        <f>IF(원데이터!A148-설정!$B$16&lt;0,"발아전",IF(원데이터!A148-설정!$B$16&lt;설정!$B$17,"초기",IF(원데이터!A148-설정!$B$16&lt;설정!$B$17+설정!$B$18,"발육",IF(원데이터!A148-설정!$B$16&lt;설정!$B$17+설정!$B$18+설정!$B$19,"중기",IF(원데이터!A148-설정!$B$16&lt;설정!$B$17+설정!$B$18+설정!$B$19+설정!$B$20,"후기","후기이후")))))</f>
        <v/>
      </c>
      <c r="W148" s="12">
        <f>IF(원데이터!A148-설정!$B$16&lt;0,0,IF(원데이터!A148-설정!$B$16&lt;설정!$B$17,설정!$B$33,IF(원데이터!A148-설정!$B$16&lt;설정!$B$17+설정!$B$18,설정!$B$33+(설정!$B$34-설정!$B$33)*(원데이터!A148-설정!$B$16-설정!$B$17+1)/설정!$B$18,IF(원데이터!A148-설정!$B$16&lt;설정!$B$17+설정!$B$18+설정!$B$19,설정!$B$34,IF(원데이터!A148-설정!$B$16&lt;설정!$B$17+설정!$B$18+설정!$B$19+설정!$B$20,설정!$B$34+(설정!$B$35-설정!$B$34)*(원데이터!A148-설정!$B$16-설정!$B$17-설정!$B$18-설정!$B$19+1)/설정!$B$20,0)))))</f>
        <v/>
      </c>
      <c r="X148" s="12">
        <f>0.108-0.0286*K148+0.0422*LN(설정!$B$5)+0.1434*LN(원데이터!E148)-0.000631*LN(설정!$B$5)^2*LN(원데이터!E148)</f>
        <v/>
      </c>
      <c r="Y148" s="17">
        <f>원데이터!M148</f>
        <v/>
      </c>
      <c r="Z148" s="18">
        <f>X148*Y148</f>
        <v/>
      </c>
      <c r="AA148" s="18">
        <f>U148*W148</f>
        <v/>
      </c>
      <c r="AB148" s="18">
        <f>Z148*W148</f>
        <v/>
      </c>
    </row>
    <row r="149">
      <c r="A149" s="15">
        <f>원데이터!A149</f>
        <v/>
      </c>
      <c r="B149" s="14">
        <f>원데이터!A149-DATE(YEAR(원데이터!A149),1,1)+1</f>
        <v/>
      </c>
      <c r="C149" s="17">
        <f>(원데이터!B149+원데이터!C149)/2</f>
        <v/>
      </c>
      <c r="D149" s="12">
        <f>0.6108*EXP(17.27*원데이터!B149/(원데이터!B149+237.3))</f>
        <v/>
      </c>
      <c r="E149" s="12">
        <f>0.6108*EXP(17.27*원데이터!C149/(원데이터!C149+237.3))</f>
        <v/>
      </c>
      <c r="F149" s="12">
        <f>(D149+E149)/2</f>
        <v/>
      </c>
      <c r="G149" s="12">
        <f>IF(원데이터!H149&lt;&gt;"",원데이터!H149/10,IF(원데이터!I149&lt;&gt;"",0.6108*EXP(17.27*원데이터!I149/(원데이터!I149+237.3)),원데이터!E149/100*F149))</f>
        <v/>
      </c>
      <c r="H149" s="21">
        <f>4098*(0.6108*EXP(17.27*C149/(C149+237.3)))/(C149+237.3)^2</f>
        <v/>
      </c>
      <c r="I149" s="17">
        <f>IF(원데이터!J149&lt;&gt;"",원데이터!J149/10,101.3*((293-0.0065*설정!$B$3)/293)^5.26)</f>
        <v/>
      </c>
      <c r="J149" s="21">
        <f>0.000665*I149</f>
        <v/>
      </c>
      <c r="K149" s="18">
        <f>원데이터!G149*4.87/LN(67.8*설정!$B$4-5.42)</f>
        <v/>
      </c>
      <c r="L149" s="12">
        <f>1+0.033*COS(2*PI()*B149/365)</f>
        <v/>
      </c>
      <c r="M149" s="21">
        <f>0.409*SIN(2*PI()*B149/365-1.39)</f>
        <v/>
      </c>
      <c r="N149" s="21">
        <f>ACOS(-TAN(RADIANS(설정!$B$2))*TAN(M149))</f>
        <v/>
      </c>
      <c r="O149" s="18">
        <f>(24*60/PI())*0.082*L149*(N149*SIN(RADIANS(설정!$B$2))*SIN(M149)+COS(RADIANS(설정!$B$2))*COS(M149)*SIN(N149))</f>
        <v/>
      </c>
      <c r="P149" s="18">
        <f>(0.75+0.00002*설정!$B$3)*O149</f>
        <v/>
      </c>
      <c r="Q149" s="18">
        <f>IF(원데이터!K149&lt;&gt;"",원데이터!K149,(0.25+0.5*원데이터!L149/(24/PI()*N149))*O149)</f>
        <v/>
      </c>
      <c r="R149" s="18">
        <f>0.77*Q149</f>
        <v/>
      </c>
      <c r="S149" s="18">
        <f>0.000000004903*(((원데이터!B149+273.16)^4+(원데이터!C149+273.16)^4)/2)*(0.34-0.14*SQRT(G149))*(1.35*MIN(Q149/P149,1)-0.35)</f>
        <v/>
      </c>
      <c r="T149" s="18">
        <f>R149-S149</f>
        <v/>
      </c>
      <c r="U149" s="18">
        <f>(0.408*H149*T149+J149*(900/(C149+273))*K149*(F149-G149))/(H149+J149*(1+0.34*K149))</f>
        <v/>
      </c>
      <c r="V149" s="11">
        <f>IF(원데이터!A149-설정!$B$16&lt;0,"발아전",IF(원데이터!A149-설정!$B$16&lt;설정!$B$17,"초기",IF(원데이터!A149-설정!$B$16&lt;설정!$B$17+설정!$B$18,"발육",IF(원데이터!A149-설정!$B$16&lt;설정!$B$17+설정!$B$18+설정!$B$19,"중기",IF(원데이터!A149-설정!$B$16&lt;설정!$B$17+설정!$B$18+설정!$B$19+설정!$B$20,"후기","후기이후")))))</f>
        <v/>
      </c>
      <c r="W149" s="12">
        <f>IF(원데이터!A149-설정!$B$16&lt;0,0,IF(원데이터!A149-설정!$B$16&lt;설정!$B$17,설정!$B$33,IF(원데이터!A149-설정!$B$16&lt;설정!$B$17+설정!$B$18,설정!$B$33+(설정!$B$34-설정!$B$33)*(원데이터!A149-설정!$B$16-설정!$B$17+1)/설정!$B$18,IF(원데이터!A149-설정!$B$16&lt;설정!$B$17+설정!$B$18+설정!$B$19,설정!$B$34,IF(원데이터!A149-설정!$B$16&lt;설정!$B$17+설정!$B$18+설정!$B$19+설정!$B$20,설정!$B$34+(설정!$B$35-설정!$B$34)*(원데이터!A149-설정!$B$16-설정!$B$17-설정!$B$18-설정!$B$19+1)/설정!$B$20,0)))))</f>
        <v/>
      </c>
      <c r="X149" s="12">
        <f>0.108-0.0286*K149+0.0422*LN(설정!$B$5)+0.1434*LN(원데이터!E149)-0.000631*LN(설정!$B$5)^2*LN(원데이터!E149)</f>
        <v/>
      </c>
      <c r="Y149" s="17">
        <f>원데이터!M149</f>
        <v/>
      </c>
      <c r="Z149" s="18">
        <f>X149*Y149</f>
        <v/>
      </c>
      <c r="AA149" s="18">
        <f>U149*W149</f>
        <v/>
      </c>
      <c r="AB149" s="18">
        <f>Z149*W149</f>
        <v/>
      </c>
    </row>
    <row r="150">
      <c r="A150" s="15">
        <f>원데이터!A150</f>
        <v/>
      </c>
      <c r="B150" s="14">
        <f>원데이터!A150-DATE(YEAR(원데이터!A150),1,1)+1</f>
        <v/>
      </c>
      <c r="C150" s="17">
        <f>(원데이터!B150+원데이터!C150)/2</f>
        <v/>
      </c>
      <c r="D150" s="12">
        <f>0.6108*EXP(17.27*원데이터!B150/(원데이터!B150+237.3))</f>
        <v/>
      </c>
      <c r="E150" s="12">
        <f>0.6108*EXP(17.27*원데이터!C150/(원데이터!C150+237.3))</f>
        <v/>
      </c>
      <c r="F150" s="12">
        <f>(D150+E150)/2</f>
        <v/>
      </c>
      <c r="G150" s="12">
        <f>IF(원데이터!H150&lt;&gt;"",원데이터!H150/10,IF(원데이터!I150&lt;&gt;"",0.6108*EXP(17.27*원데이터!I150/(원데이터!I150+237.3)),원데이터!E150/100*F150))</f>
        <v/>
      </c>
      <c r="H150" s="21">
        <f>4098*(0.6108*EXP(17.27*C150/(C150+237.3)))/(C150+237.3)^2</f>
        <v/>
      </c>
      <c r="I150" s="17">
        <f>IF(원데이터!J150&lt;&gt;"",원데이터!J150/10,101.3*((293-0.0065*설정!$B$3)/293)^5.26)</f>
        <v/>
      </c>
      <c r="J150" s="21">
        <f>0.000665*I150</f>
        <v/>
      </c>
      <c r="K150" s="18">
        <f>원데이터!G150*4.87/LN(67.8*설정!$B$4-5.42)</f>
        <v/>
      </c>
      <c r="L150" s="12">
        <f>1+0.033*COS(2*PI()*B150/365)</f>
        <v/>
      </c>
      <c r="M150" s="21">
        <f>0.409*SIN(2*PI()*B150/365-1.39)</f>
        <v/>
      </c>
      <c r="N150" s="21">
        <f>ACOS(-TAN(RADIANS(설정!$B$2))*TAN(M150))</f>
        <v/>
      </c>
      <c r="O150" s="18">
        <f>(24*60/PI())*0.082*L150*(N150*SIN(RADIANS(설정!$B$2))*SIN(M150)+COS(RADIANS(설정!$B$2))*COS(M150)*SIN(N150))</f>
        <v/>
      </c>
      <c r="P150" s="18">
        <f>(0.75+0.00002*설정!$B$3)*O150</f>
        <v/>
      </c>
      <c r="Q150" s="18">
        <f>IF(원데이터!K150&lt;&gt;"",원데이터!K150,(0.25+0.5*원데이터!L150/(24/PI()*N150))*O150)</f>
        <v/>
      </c>
      <c r="R150" s="18">
        <f>0.77*Q150</f>
        <v/>
      </c>
      <c r="S150" s="18">
        <f>0.000000004903*(((원데이터!B150+273.16)^4+(원데이터!C150+273.16)^4)/2)*(0.34-0.14*SQRT(G150))*(1.35*MIN(Q150/P150,1)-0.35)</f>
        <v/>
      </c>
      <c r="T150" s="18">
        <f>R150-S150</f>
        <v/>
      </c>
      <c r="U150" s="18">
        <f>(0.408*H150*T150+J150*(900/(C150+273))*K150*(F150-G150))/(H150+J150*(1+0.34*K150))</f>
        <v/>
      </c>
      <c r="V150" s="11">
        <f>IF(원데이터!A150-설정!$B$16&lt;0,"발아전",IF(원데이터!A150-설정!$B$16&lt;설정!$B$17,"초기",IF(원데이터!A150-설정!$B$16&lt;설정!$B$17+설정!$B$18,"발육",IF(원데이터!A150-설정!$B$16&lt;설정!$B$17+설정!$B$18+설정!$B$19,"중기",IF(원데이터!A150-설정!$B$16&lt;설정!$B$17+설정!$B$18+설정!$B$19+설정!$B$20,"후기","후기이후")))))</f>
        <v/>
      </c>
      <c r="W150" s="12">
        <f>IF(원데이터!A150-설정!$B$16&lt;0,0,IF(원데이터!A150-설정!$B$16&lt;설정!$B$17,설정!$B$33,IF(원데이터!A150-설정!$B$16&lt;설정!$B$17+설정!$B$18,설정!$B$33+(설정!$B$34-설정!$B$33)*(원데이터!A150-설정!$B$16-설정!$B$17+1)/설정!$B$18,IF(원데이터!A150-설정!$B$16&lt;설정!$B$17+설정!$B$18+설정!$B$19,설정!$B$34,IF(원데이터!A150-설정!$B$16&lt;설정!$B$17+설정!$B$18+설정!$B$19+설정!$B$20,설정!$B$34+(설정!$B$35-설정!$B$34)*(원데이터!A150-설정!$B$16-설정!$B$17-설정!$B$18-설정!$B$19+1)/설정!$B$20,0)))))</f>
        <v/>
      </c>
      <c r="X150" s="12">
        <f>0.108-0.0286*K150+0.0422*LN(설정!$B$5)+0.1434*LN(원데이터!E150)-0.000631*LN(설정!$B$5)^2*LN(원데이터!E150)</f>
        <v/>
      </c>
      <c r="Y150" s="17">
        <f>원데이터!M150</f>
        <v/>
      </c>
      <c r="Z150" s="18">
        <f>X150*Y150</f>
        <v/>
      </c>
      <c r="AA150" s="18">
        <f>U150*W150</f>
        <v/>
      </c>
      <c r="AB150" s="18">
        <f>Z150*W150</f>
        <v/>
      </c>
    </row>
    <row r="151">
      <c r="A151" s="15">
        <f>원데이터!A151</f>
        <v/>
      </c>
      <c r="B151" s="14">
        <f>원데이터!A151-DATE(YEAR(원데이터!A151),1,1)+1</f>
        <v/>
      </c>
      <c r="C151" s="17">
        <f>(원데이터!B151+원데이터!C151)/2</f>
        <v/>
      </c>
      <c r="D151" s="12">
        <f>0.6108*EXP(17.27*원데이터!B151/(원데이터!B151+237.3))</f>
        <v/>
      </c>
      <c r="E151" s="12">
        <f>0.6108*EXP(17.27*원데이터!C151/(원데이터!C151+237.3))</f>
        <v/>
      </c>
      <c r="F151" s="12">
        <f>(D151+E151)/2</f>
        <v/>
      </c>
      <c r="G151" s="12">
        <f>IF(원데이터!H151&lt;&gt;"",원데이터!H151/10,IF(원데이터!I151&lt;&gt;"",0.6108*EXP(17.27*원데이터!I151/(원데이터!I151+237.3)),원데이터!E151/100*F151))</f>
        <v/>
      </c>
      <c r="H151" s="21">
        <f>4098*(0.6108*EXP(17.27*C151/(C151+237.3)))/(C151+237.3)^2</f>
        <v/>
      </c>
      <c r="I151" s="17">
        <f>IF(원데이터!J151&lt;&gt;"",원데이터!J151/10,101.3*((293-0.0065*설정!$B$3)/293)^5.26)</f>
        <v/>
      </c>
      <c r="J151" s="21">
        <f>0.000665*I151</f>
        <v/>
      </c>
      <c r="K151" s="18">
        <f>원데이터!G151*4.87/LN(67.8*설정!$B$4-5.42)</f>
        <v/>
      </c>
      <c r="L151" s="12">
        <f>1+0.033*COS(2*PI()*B151/365)</f>
        <v/>
      </c>
      <c r="M151" s="21">
        <f>0.409*SIN(2*PI()*B151/365-1.39)</f>
        <v/>
      </c>
      <c r="N151" s="21">
        <f>ACOS(-TAN(RADIANS(설정!$B$2))*TAN(M151))</f>
        <v/>
      </c>
      <c r="O151" s="18">
        <f>(24*60/PI())*0.082*L151*(N151*SIN(RADIANS(설정!$B$2))*SIN(M151)+COS(RADIANS(설정!$B$2))*COS(M151)*SIN(N151))</f>
        <v/>
      </c>
      <c r="P151" s="18">
        <f>(0.75+0.00002*설정!$B$3)*O151</f>
        <v/>
      </c>
      <c r="Q151" s="18">
        <f>IF(원데이터!K151&lt;&gt;"",원데이터!K151,(0.25+0.5*원데이터!L151/(24/PI()*N151))*O151)</f>
        <v/>
      </c>
      <c r="R151" s="18">
        <f>0.77*Q151</f>
        <v/>
      </c>
      <c r="S151" s="18">
        <f>0.000000004903*(((원데이터!B151+273.16)^4+(원데이터!C151+273.16)^4)/2)*(0.34-0.14*SQRT(G151))*(1.35*MIN(Q151/P151,1)-0.35)</f>
        <v/>
      </c>
      <c r="T151" s="18">
        <f>R151-S151</f>
        <v/>
      </c>
      <c r="U151" s="18">
        <f>(0.408*H151*T151+J151*(900/(C151+273))*K151*(F151-G151))/(H151+J151*(1+0.34*K151))</f>
        <v/>
      </c>
      <c r="V151" s="11">
        <f>IF(원데이터!A151-설정!$B$16&lt;0,"발아전",IF(원데이터!A151-설정!$B$16&lt;설정!$B$17,"초기",IF(원데이터!A151-설정!$B$16&lt;설정!$B$17+설정!$B$18,"발육",IF(원데이터!A151-설정!$B$16&lt;설정!$B$17+설정!$B$18+설정!$B$19,"중기",IF(원데이터!A151-설정!$B$16&lt;설정!$B$17+설정!$B$18+설정!$B$19+설정!$B$20,"후기","후기이후")))))</f>
        <v/>
      </c>
      <c r="W151" s="12">
        <f>IF(원데이터!A151-설정!$B$16&lt;0,0,IF(원데이터!A151-설정!$B$16&lt;설정!$B$17,설정!$B$33,IF(원데이터!A151-설정!$B$16&lt;설정!$B$17+설정!$B$18,설정!$B$33+(설정!$B$34-설정!$B$33)*(원데이터!A151-설정!$B$16-설정!$B$17+1)/설정!$B$18,IF(원데이터!A151-설정!$B$16&lt;설정!$B$17+설정!$B$18+설정!$B$19,설정!$B$34,IF(원데이터!A151-설정!$B$16&lt;설정!$B$17+설정!$B$18+설정!$B$19+설정!$B$20,설정!$B$34+(설정!$B$35-설정!$B$34)*(원데이터!A151-설정!$B$16-설정!$B$17-설정!$B$18-설정!$B$19+1)/설정!$B$20,0)))))</f>
        <v/>
      </c>
      <c r="X151" s="12">
        <f>0.108-0.0286*K151+0.0422*LN(설정!$B$5)+0.1434*LN(원데이터!E151)-0.000631*LN(설정!$B$5)^2*LN(원데이터!E151)</f>
        <v/>
      </c>
      <c r="Y151" s="17">
        <f>원데이터!M151</f>
        <v/>
      </c>
      <c r="Z151" s="18">
        <f>X151*Y151</f>
        <v/>
      </c>
      <c r="AA151" s="18">
        <f>U151*W151</f>
        <v/>
      </c>
      <c r="AB151" s="18">
        <f>Z151*W151</f>
        <v/>
      </c>
    </row>
    <row r="152">
      <c r="A152" s="15">
        <f>원데이터!A152</f>
        <v/>
      </c>
      <c r="B152" s="14">
        <f>원데이터!A152-DATE(YEAR(원데이터!A152),1,1)+1</f>
        <v/>
      </c>
      <c r="C152" s="17">
        <f>(원데이터!B152+원데이터!C152)/2</f>
        <v/>
      </c>
      <c r="D152" s="12">
        <f>0.6108*EXP(17.27*원데이터!B152/(원데이터!B152+237.3))</f>
        <v/>
      </c>
      <c r="E152" s="12">
        <f>0.6108*EXP(17.27*원데이터!C152/(원데이터!C152+237.3))</f>
        <v/>
      </c>
      <c r="F152" s="12">
        <f>(D152+E152)/2</f>
        <v/>
      </c>
      <c r="G152" s="12">
        <f>IF(원데이터!H152&lt;&gt;"",원데이터!H152/10,IF(원데이터!I152&lt;&gt;"",0.6108*EXP(17.27*원데이터!I152/(원데이터!I152+237.3)),원데이터!E152/100*F152))</f>
        <v/>
      </c>
      <c r="H152" s="21">
        <f>4098*(0.6108*EXP(17.27*C152/(C152+237.3)))/(C152+237.3)^2</f>
        <v/>
      </c>
      <c r="I152" s="17">
        <f>IF(원데이터!J152&lt;&gt;"",원데이터!J152/10,101.3*((293-0.0065*설정!$B$3)/293)^5.26)</f>
        <v/>
      </c>
      <c r="J152" s="21">
        <f>0.000665*I152</f>
        <v/>
      </c>
      <c r="K152" s="18">
        <f>원데이터!G152*4.87/LN(67.8*설정!$B$4-5.42)</f>
        <v/>
      </c>
      <c r="L152" s="12">
        <f>1+0.033*COS(2*PI()*B152/365)</f>
        <v/>
      </c>
      <c r="M152" s="21">
        <f>0.409*SIN(2*PI()*B152/365-1.39)</f>
        <v/>
      </c>
      <c r="N152" s="21">
        <f>ACOS(-TAN(RADIANS(설정!$B$2))*TAN(M152))</f>
        <v/>
      </c>
      <c r="O152" s="18">
        <f>(24*60/PI())*0.082*L152*(N152*SIN(RADIANS(설정!$B$2))*SIN(M152)+COS(RADIANS(설정!$B$2))*COS(M152)*SIN(N152))</f>
        <v/>
      </c>
      <c r="P152" s="18">
        <f>(0.75+0.00002*설정!$B$3)*O152</f>
        <v/>
      </c>
      <c r="Q152" s="18">
        <f>IF(원데이터!K152&lt;&gt;"",원데이터!K152,(0.25+0.5*원데이터!L152/(24/PI()*N152))*O152)</f>
        <v/>
      </c>
      <c r="R152" s="18">
        <f>0.77*Q152</f>
        <v/>
      </c>
      <c r="S152" s="18">
        <f>0.000000004903*(((원데이터!B152+273.16)^4+(원데이터!C152+273.16)^4)/2)*(0.34-0.14*SQRT(G152))*(1.35*MIN(Q152/P152,1)-0.35)</f>
        <v/>
      </c>
      <c r="T152" s="18">
        <f>R152-S152</f>
        <v/>
      </c>
      <c r="U152" s="18">
        <f>(0.408*H152*T152+J152*(900/(C152+273))*K152*(F152-G152))/(H152+J152*(1+0.34*K152))</f>
        <v/>
      </c>
      <c r="V152" s="11">
        <f>IF(원데이터!A152-설정!$B$16&lt;0,"발아전",IF(원데이터!A152-설정!$B$16&lt;설정!$B$17,"초기",IF(원데이터!A152-설정!$B$16&lt;설정!$B$17+설정!$B$18,"발육",IF(원데이터!A152-설정!$B$16&lt;설정!$B$17+설정!$B$18+설정!$B$19,"중기",IF(원데이터!A152-설정!$B$16&lt;설정!$B$17+설정!$B$18+설정!$B$19+설정!$B$20,"후기","후기이후")))))</f>
        <v/>
      </c>
      <c r="W152" s="12">
        <f>IF(원데이터!A152-설정!$B$16&lt;0,0,IF(원데이터!A152-설정!$B$16&lt;설정!$B$17,설정!$B$33,IF(원데이터!A152-설정!$B$16&lt;설정!$B$17+설정!$B$18,설정!$B$33+(설정!$B$34-설정!$B$33)*(원데이터!A152-설정!$B$16-설정!$B$17+1)/설정!$B$18,IF(원데이터!A152-설정!$B$16&lt;설정!$B$17+설정!$B$18+설정!$B$19,설정!$B$34,IF(원데이터!A152-설정!$B$16&lt;설정!$B$17+설정!$B$18+설정!$B$19+설정!$B$20,설정!$B$34+(설정!$B$35-설정!$B$34)*(원데이터!A152-설정!$B$16-설정!$B$17-설정!$B$18-설정!$B$19+1)/설정!$B$20,0)))))</f>
        <v/>
      </c>
      <c r="X152" s="12">
        <f>0.108-0.0286*K152+0.0422*LN(설정!$B$5)+0.1434*LN(원데이터!E152)-0.000631*LN(설정!$B$5)^2*LN(원데이터!E152)</f>
        <v/>
      </c>
      <c r="Y152" s="17">
        <f>원데이터!M152</f>
        <v/>
      </c>
      <c r="Z152" s="18">
        <f>X152*Y152</f>
        <v/>
      </c>
      <c r="AA152" s="18">
        <f>U152*W152</f>
        <v/>
      </c>
      <c r="AB152" s="18">
        <f>Z152*W152</f>
        <v/>
      </c>
    </row>
    <row r="153">
      <c r="A153" s="15">
        <f>원데이터!A153</f>
        <v/>
      </c>
      <c r="B153" s="14">
        <f>원데이터!A153-DATE(YEAR(원데이터!A153),1,1)+1</f>
        <v/>
      </c>
      <c r="C153" s="17">
        <f>(원데이터!B153+원데이터!C153)/2</f>
        <v/>
      </c>
      <c r="D153" s="12">
        <f>0.6108*EXP(17.27*원데이터!B153/(원데이터!B153+237.3))</f>
        <v/>
      </c>
      <c r="E153" s="12">
        <f>0.6108*EXP(17.27*원데이터!C153/(원데이터!C153+237.3))</f>
        <v/>
      </c>
      <c r="F153" s="12">
        <f>(D153+E153)/2</f>
        <v/>
      </c>
      <c r="G153" s="12">
        <f>IF(원데이터!H153&lt;&gt;"",원데이터!H153/10,IF(원데이터!I153&lt;&gt;"",0.6108*EXP(17.27*원데이터!I153/(원데이터!I153+237.3)),원데이터!E153/100*F153))</f>
        <v/>
      </c>
      <c r="H153" s="21">
        <f>4098*(0.6108*EXP(17.27*C153/(C153+237.3)))/(C153+237.3)^2</f>
        <v/>
      </c>
      <c r="I153" s="17">
        <f>IF(원데이터!J153&lt;&gt;"",원데이터!J153/10,101.3*((293-0.0065*설정!$B$3)/293)^5.26)</f>
        <v/>
      </c>
      <c r="J153" s="21">
        <f>0.000665*I153</f>
        <v/>
      </c>
      <c r="K153" s="18">
        <f>원데이터!G153*4.87/LN(67.8*설정!$B$4-5.42)</f>
        <v/>
      </c>
      <c r="L153" s="12">
        <f>1+0.033*COS(2*PI()*B153/365)</f>
        <v/>
      </c>
      <c r="M153" s="21">
        <f>0.409*SIN(2*PI()*B153/365-1.39)</f>
        <v/>
      </c>
      <c r="N153" s="21">
        <f>ACOS(-TAN(RADIANS(설정!$B$2))*TAN(M153))</f>
        <v/>
      </c>
      <c r="O153" s="18">
        <f>(24*60/PI())*0.082*L153*(N153*SIN(RADIANS(설정!$B$2))*SIN(M153)+COS(RADIANS(설정!$B$2))*COS(M153)*SIN(N153))</f>
        <v/>
      </c>
      <c r="P153" s="18">
        <f>(0.75+0.00002*설정!$B$3)*O153</f>
        <v/>
      </c>
      <c r="Q153" s="18">
        <f>IF(원데이터!K153&lt;&gt;"",원데이터!K153,(0.25+0.5*원데이터!L153/(24/PI()*N153))*O153)</f>
        <v/>
      </c>
      <c r="R153" s="18">
        <f>0.77*Q153</f>
        <v/>
      </c>
      <c r="S153" s="18">
        <f>0.000000004903*(((원데이터!B153+273.16)^4+(원데이터!C153+273.16)^4)/2)*(0.34-0.14*SQRT(G153))*(1.35*MIN(Q153/P153,1)-0.35)</f>
        <v/>
      </c>
      <c r="T153" s="18">
        <f>R153-S153</f>
        <v/>
      </c>
      <c r="U153" s="18">
        <f>(0.408*H153*T153+J153*(900/(C153+273))*K153*(F153-G153))/(H153+J153*(1+0.34*K153))</f>
        <v/>
      </c>
      <c r="V153" s="11">
        <f>IF(원데이터!A153-설정!$B$16&lt;0,"발아전",IF(원데이터!A153-설정!$B$16&lt;설정!$B$17,"초기",IF(원데이터!A153-설정!$B$16&lt;설정!$B$17+설정!$B$18,"발육",IF(원데이터!A153-설정!$B$16&lt;설정!$B$17+설정!$B$18+설정!$B$19,"중기",IF(원데이터!A153-설정!$B$16&lt;설정!$B$17+설정!$B$18+설정!$B$19+설정!$B$20,"후기","후기이후")))))</f>
        <v/>
      </c>
      <c r="W153" s="12">
        <f>IF(원데이터!A153-설정!$B$16&lt;0,0,IF(원데이터!A153-설정!$B$16&lt;설정!$B$17,설정!$B$33,IF(원데이터!A153-설정!$B$16&lt;설정!$B$17+설정!$B$18,설정!$B$33+(설정!$B$34-설정!$B$33)*(원데이터!A153-설정!$B$16-설정!$B$17+1)/설정!$B$18,IF(원데이터!A153-설정!$B$16&lt;설정!$B$17+설정!$B$18+설정!$B$19,설정!$B$34,IF(원데이터!A153-설정!$B$16&lt;설정!$B$17+설정!$B$18+설정!$B$19+설정!$B$20,설정!$B$34+(설정!$B$35-설정!$B$34)*(원데이터!A153-설정!$B$16-설정!$B$17-설정!$B$18-설정!$B$19+1)/설정!$B$20,0)))))</f>
        <v/>
      </c>
      <c r="X153" s="12">
        <f>0.108-0.0286*K153+0.0422*LN(설정!$B$5)+0.1434*LN(원데이터!E153)-0.000631*LN(설정!$B$5)^2*LN(원데이터!E153)</f>
        <v/>
      </c>
      <c r="Y153" s="17">
        <f>원데이터!M153</f>
        <v/>
      </c>
      <c r="Z153" s="18">
        <f>X153*Y153</f>
        <v/>
      </c>
      <c r="AA153" s="18">
        <f>U153*W153</f>
        <v/>
      </c>
      <c r="AB153" s="18">
        <f>Z153*W153</f>
        <v/>
      </c>
    </row>
    <row r="154">
      <c r="A154" s="15">
        <f>원데이터!A154</f>
        <v/>
      </c>
      <c r="B154" s="14">
        <f>원데이터!A154-DATE(YEAR(원데이터!A154),1,1)+1</f>
        <v/>
      </c>
      <c r="C154" s="17">
        <f>(원데이터!B154+원데이터!C154)/2</f>
        <v/>
      </c>
      <c r="D154" s="12">
        <f>0.6108*EXP(17.27*원데이터!B154/(원데이터!B154+237.3))</f>
        <v/>
      </c>
      <c r="E154" s="12">
        <f>0.6108*EXP(17.27*원데이터!C154/(원데이터!C154+237.3))</f>
        <v/>
      </c>
      <c r="F154" s="12">
        <f>(D154+E154)/2</f>
        <v/>
      </c>
      <c r="G154" s="12">
        <f>IF(원데이터!H154&lt;&gt;"",원데이터!H154/10,IF(원데이터!I154&lt;&gt;"",0.6108*EXP(17.27*원데이터!I154/(원데이터!I154+237.3)),원데이터!E154/100*F154))</f>
        <v/>
      </c>
      <c r="H154" s="21">
        <f>4098*(0.6108*EXP(17.27*C154/(C154+237.3)))/(C154+237.3)^2</f>
        <v/>
      </c>
      <c r="I154" s="17">
        <f>IF(원데이터!J154&lt;&gt;"",원데이터!J154/10,101.3*((293-0.0065*설정!$B$3)/293)^5.26)</f>
        <v/>
      </c>
      <c r="J154" s="21">
        <f>0.000665*I154</f>
        <v/>
      </c>
      <c r="K154" s="18">
        <f>원데이터!G154*4.87/LN(67.8*설정!$B$4-5.42)</f>
        <v/>
      </c>
      <c r="L154" s="12">
        <f>1+0.033*COS(2*PI()*B154/365)</f>
        <v/>
      </c>
      <c r="M154" s="21">
        <f>0.409*SIN(2*PI()*B154/365-1.39)</f>
        <v/>
      </c>
      <c r="N154" s="21">
        <f>ACOS(-TAN(RADIANS(설정!$B$2))*TAN(M154))</f>
        <v/>
      </c>
      <c r="O154" s="18">
        <f>(24*60/PI())*0.082*L154*(N154*SIN(RADIANS(설정!$B$2))*SIN(M154)+COS(RADIANS(설정!$B$2))*COS(M154)*SIN(N154))</f>
        <v/>
      </c>
      <c r="P154" s="18">
        <f>(0.75+0.00002*설정!$B$3)*O154</f>
        <v/>
      </c>
      <c r="Q154" s="18">
        <f>IF(원데이터!K154&lt;&gt;"",원데이터!K154,(0.25+0.5*원데이터!L154/(24/PI()*N154))*O154)</f>
        <v/>
      </c>
      <c r="R154" s="18">
        <f>0.77*Q154</f>
        <v/>
      </c>
      <c r="S154" s="18">
        <f>0.000000004903*(((원데이터!B154+273.16)^4+(원데이터!C154+273.16)^4)/2)*(0.34-0.14*SQRT(G154))*(1.35*MIN(Q154/P154,1)-0.35)</f>
        <v/>
      </c>
      <c r="T154" s="18">
        <f>R154-S154</f>
        <v/>
      </c>
      <c r="U154" s="18">
        <f>(0.408*H154*T154+J154*(900/(C154+273))*K154*(F154-G154))/(H154+J154*(1+0.34*K154))</f>
        <v/>
      </c>
      <c r="V154" s="11">
        <f>IF(원데이터!A154-설정!$B$16&lt;0,"발아전",IF(원데이터!A154-설정!$B$16&lt;설정!$B$17,"초기",IF(원데이터!A154-설정!$B$16&lt;설정!$B$17+설정!$B$18,"발육",IF(원데이터!A154-설정!$B$16&lt;설정!$B$17+설정!$B$18+설정!$B$19,"중기",IF(원데이터!A154-설정!$B$16&lt;설정!$B$17+설정!$B$18+설정!$B$19+설정!$B$20,"후기","후기이후")))))</f>
        <v/>
      </c>
      <c r="W154" s="12">
        <f>IF(원데이터!A154-설정!$B$16&lt;0,0,IF(원데이터!A154-설정!$B$16&lt;설정!$B$17,설정!$B$33,IF(원데이터!A154-설정!$B$16&lt;설정!$B$17+설정!$B$18,설정!$B$33+(설정!$B$34-설정!$B$33)*(원데이터!A154-설정!$B$16-설정!$B$17+1)/설정!$B$18,IF(원데이터!A154-설정!$B$16&lt;설정!$B$17+설정!$B$18+설정!$B$19,설정!$B$34,IF(원데이터!A154-설정!$B$16&lt;설정!$B$17+설정!$B$18+설정!$B$19+설정!$B$20,설정!$B$34+(설정!$B$35-설정!$B$34)*(원데이터!A154-설정!$B$16-설정!$B$17-설정!$B$18-설정!$B$19+1)/설정!$B$20,0)))))</f>
        <v/>
      </c>
      <c r="X154" s="12">
        <f>0.108-0.0286*K154+0.0422*LN(설정!$B$5)+0.1434*LN(원데이터!E154)-0.000631*LN(설정!$B$5)^2*LN(원데이터!E154)</f>
        <v/>
      </c>
      <c r="Y154" s="17">
        <f>원데이터!M154</f>
        <v/>
      </c>
      <c r="Z154" s="18">
        <f>X154*Y154</f>
        <v/>
      </c>
      <c r="AA154" s="18">
        <f>U154*W154</f>
        <v/>
      </c>
      <c r="AB154" s="18">
        <f>Z154*W154</f>
        <v/>
      </c>
    </row>
    <row r="155">
      <c r="A155" s="15">
        <f>원데이터!A155</f>
        <v/>
      </c>
      <c r="B155" s="14">
        <f>원데이터!A155-DATE(YEAR(원데이터!A155),1,1)+1</f>
        <v/>
      </c>
      <c r="C155" s="17">
        <f>(원데이터!B155+원데이터!C155)/2</f>
        <v/>
      </c>
      <c r="D155" s="12">
        <f>0.6108*EXP(17.27*원데이터!B155/(원데이터!B155+237.3))</f>
        <v/>
      </c>
      <c r="E155" s="12">
        <f>0.6108*EXP(17.27*원데이터!C155/(원데이터!C155+237.3))</f>
        <v/>
      </c>
      <c r="F155" s="12">
        <f>(D155+E155)/2</f>
        <v/>
      </c>
      <c r="G155" s="12">
        <f>IF(원데이터!H155&lt;&gt;"",원데이터!H155/10,IF(원데이터!I155&lt;&gt;"",0.6108*EXP(17.27*원데이터!I155/(원데이터!I155+237.3)),원데이터!E155/100*F155))</f>
        <v/>
      </c>
      <c r="H155" s="21">
        <f>4098*(0.6108*EXP(17.27*C155/(C155+237.3)))/(C155+237.3)^2</f>
        <v/>
      </c>
      <c r="I155" s="17">
        <f>IF(원데이터!J155&lt;&gt;"",원데이터!J155/10,101.3*((293-0.0065*설정!$B$3)/293)^5.26)</f>
        <v/>
      </c>
      <c r="J155" s="21">
        <f>0.000665*I155</f>
        <v/>
      </c>
      <c r="K155" s="18">
        <f>원데이터!G155*4.87/LN(67.8*설정!$B$4-5.42)</f>
        <v/>
      </c>
      <c r="L155" s="12">
        <f>1+0.033*COS(2*PI()*B155/365)</f>
        <v/>
      </c>
      <c r="M155" s="21">
        <f>0.409*SIN(2*PI()*B155/365-1.39)</f>
        <v/>
      </c>
      <c r="N155" s="21">
        <f>ACOS(-TAN(RADIANS(설정!$B$2))*TAN(M155))</f>
        <v/>
      </c>
      <c r="O155" s="18">
        <f>(24*60/PI())*0.082*L155*(N155*SIN(RADIANS(설정!$B$2))*SIN(M155)+COS(RADIANS(설정!$B$2))*COS(M155)*SIN(N155))</f>
        <v/>
      </c>
      <c r="P155" s="18">
        <f>(0.75+0.00002*설정!$B$3)*O155</f>
        <v/>
      </c>
      <c r="Q155" s="18">
        <f>IF(원데이터!K155&lt;&gt;"",원데이터!K155,(0.25+0.5*원데이터!L155/(24/PI()*N155))*O155)</f>
        <v/>
      </c>
      <c r="R155" s="18">
        <f>0.77*Q155</f>
        <v/>
      </c>
      <c r="S155" s="18">
        <f>0.000000004903*(((원데이터!B155+273.16)^4+(원데이터!C155+273.16)^4)/2)*(0.34-0.14*SQRT(G155))*(1.35*MIN(Q155/P155,1)-0.35)</f>
        <v/>
      </c>
      <c r="T155" s="18">
        <f>R155-S155</f>
        <v/>
      </c>
      <c r="U155" s="18">
        <f>(0.408*H155*T155+J155*(900/(C155+273))*K155*(F155-G155))/(H155+J155*(1+0.34*K155))</f>
        <v/>
      </c>
      <c r="V155" s="11">
        <f>IF(원데이터!A155-설정!$B$16&lt;0,"발아전",IF(원데이터!A155-설정!$B$16&lt;설정!$B$17,"초기",IF(원데이터!A155-설정!$B$16&lt;설정!$B$17+설정!$B$18,"발육",IF(원데이터!A155-설정!$B$16&lt;설정!$B$17+설정!$B$18+설정!$B$19,"중기",IF(원데이터!A155-설정!$B$16&lt;설정!$B$17+설정!$B$18+설정!$B$19+설정!$B$20,"후기","후기이후")))))</f>
        <v/>
      </c>
      <c r="W155" s="12">
        <f>IF(원데이터!A155-설정!$B$16&lt;0,0,IF(원데이터!A155-설정!$B$16&lt;설정!$B$17,설정!$B$33,IF(원데이터!A155-설정!$B$16&lt;설정!$B$17+설정!$B$18,설정!$B$33+(설정!$B$34-설정!$B$33)*(원데이터!A155-설정!$B$16-설정!$B$17+1)/설정!$B$18,IF(원데이터!A155-설정!$B$16&lt;설정!$B$17+설정!$B$18+설정!$B$19,설정!$B$34,IF(원데이터!A155-설정!$B$16&lt;설정!$B$17+설정!$B$18+설정!$B$19+설정!$B$20,설정!$B$34+(설정!$B$35-설정!$B$34)*(원데이터!A155-설정!$B$16-설정!$B$17-설정!$B$18-설정!$B$19+1)/설정!$B$20,0)))))</f>
        <v/>
      </c>
      <c r="X155" s="12">
        <f>0.108-0.0286*K155+0.0422*LN(설정!$B$5)+0.1434*LN(원데이터!E155)-0.000631*LN(설정!$B$5)^2*LN(원데이터!E155)</f>
        <v/>
      </c>
      <c r="Y155" s="17">
        <f>원데이터!M155</f>
        <v/>
      </c>
      <c r="Z155" s="18">
        <f>X155*Y155</f>
        <v/>
      </c>
      <c r="AA155" s="18">
        <f>U155*W155</f>
        <v/>
      </c>
      <c r="AB155" s="18">
        <f>Z155*W155</f>
        <v/>
      </c>
    </row>
    <row r="156">
      <c r="A156" s="15">
        <f>원데이터!A156</f>
        <v/>
      </c>
      <c r="B156" s="14">
        <f>원데이터!A156-DATE(YEAR(원데이터!A156),1,1)+1</f>
        <v/>
      </c>
      <c r="C156" s="17">
        <f>(원데이터!B156+원데이터!C156)/2</f>
        <v/>
      </c>
      <c r="D156" s="12">
        <f>0.6108*EXP(17.27*원데이터!B156/(원데이터!B156+237.3))</f>
        <v/>
      </c>
      <c r="E156" s="12">
        <f>0.6108*EXP(17.27*원데이터!C156/(원데이터!C156+237.3))</f>
        <v/>
      </c>
      <c r="F156" s="12">
        <f>(D156+E156)/2</f>
        <v/>
      </c>
      <c r="G156" s="12">
        <f>IF(원데이터!H156&lt;&gt;"",원데이터!H156/10,IF(원데이터!I156&lt;&gt;"",0.6108*EXP(17.27*원데이터!I156/(원데이터!I156+237.3)),원데이터!E156/100*F156))</f>
        <v/>
      </c>
      <c r="H156" s="21">
        <f>4098*(0.6108*EXP(17.27*C156/(C156+237.3)))/(C156+237.3)^2</f>
        <v/>
      </c>
      <c r="I156" s="17">
        <f>IF(원데이터!J156&lt;&gt;"",원데이터!J156/10,101.3*((293-0.0065*설정!$B$3)/293)^5.26)</f>
        <v/>
      </c>
      <c r="J156" s="21">
        <f>0.000665*I156</f>
        <v/>
      </c>
      <c r="K156" s="18">
        <f>원데이터!G156*4.87/LN(67.8*설정!$B$4-5.42)</f>
        <v/>
      </c>
      <c r="L156" s="12">
        <f>1+0.033*COS(2*PI()*B156/365)</f>
        <v/>
      </c>
      <c r="M156" s="21">
        <f>0.409*SIN(2*PI()*B156/365-1.39)</f>
        <v/>
      </c>
      <c r="N156" s="21">
        <f>ACOS(-TAN(RADIANS(설정!$B$2))*TAN(M156))</f>
        <v/>
      </c>
      <c r="O156" s="18">
        <f>(24*60/PI())*0.082*L156*(N156*SIN(RADIANS(설정!$B$2))*SIN(M156)+COS(RADIANS(설정!$B$2))*COS(M156)*SIN(N156))</f>
        <v/>
      </c>
      <c r="P156" s="18">
        <f>(0.75+0.00002*설정!$B$3)*O156</f>
        <v/>
      </c>
      <c r="Q156" s="18">
        <f>IF(원데이터!K156&lt;&gt;"",원데이터!K156,(0.25+0.5*원데이터!L156/(24/PI()*N156))*O156)</f>
        <v/>
      </c>
      <c r="R156" s="18">
        <f>0.77*Q156</f>
        <v/>
      </c>
      <c r="S156" s="18">
        <f>0.000000004903*(((원데이터!B156+273.16)^4+(원데이터!C156+273.16)^4)/2)*(0.34-0.14*SQRT(G156))*(1.35*MIN(Q156/P156,1)-0.35)</f>
        <v/>
      </c>
      <c r="T156" s="18">
        <f>R156-S156</f>
        <v/>
      </c>
      <c r="U156" s="18">
        <f>(0.408*H156*T156+J156*(900/(C156+273))*K156*(F156-G156))/(H156+J156*(1+0.34*K156))</f>
        <v/>
      </c>
      <c r="V156" s="11">
        <f>IF(원데이터!A156-설정!$B$16&lt;0,"발아전",IF(원데이터!A156-설정!$B$16&lt;설정!$B$17,"초기",IF(원데이터!A156-설정!$B$16&lt;설정!$B$17+설정!$B$18,"발육",IF(원데이터!A156-설정!$B$16&lt;설정!$B$17+설정!$B$18+설정!$B$19,"중기",IF(원데이터!A156-설정!$B$16&lt;설정!$B$17+설정!$B$18+설정!$B$19+설정!$B$20,"후기","후기이후")))))</f>
        <v/>
      </c>
      <c r="W156" s="12">
        <f>IF(원데이터!A156-설정!$B$16&lt;0,0,IF(원데이터!A156-설정!$B$16&lt;설정!$B$17,설정!$B$33,IF(원데이터!A156-설정!$B$16&lt;설정!$B$17+설정!$B$18,설정!$B$33+(설정!$B$34-설정!$B$33)*(원데이터!A156-설정!$B$16-설정!$B$17+1)/설정!$B$18,IF(원데이터!A156-설정!$B$16&lt;설정!$B$17+설정!$B$18+설정!$B$19,설정!$B$34,IF(원데이터!A156-설정!$B$16&lt;설정!$B$17+설정!$B$18+설정!$B$19+설정!$B$20,설정!$B$34+(설정!$B$35-설정!$B$34)*(원데이터!A156-설정!$B$16-설정!$B$17-설정!$B$18-설정!$B$19+1)/설정!$B$20,0)))))</f>
        <v/>
      </c>
      <c r="X156" s="12">
        <f>0.108-0.0286*K156+0.0422*LN(설정!$B$5)+0.1434*LN(원데이터!E156)-0.000631*LN(설정!$B$5)^2*LN(원데이터!E156)</f>
        <v/>
      </c>
      <c r="Y156" s="17">
        <f>원데이터!M156</f>
        <v/>
      </c>
      <c r="Z156" s="18">
        <f>X156*Y156</f>
        <v/>
      </c>
      <c r="AA156" s="18">
        <f>U156*W156</f>
        <v/>
      </c>
      <c r="AB156" s="18">
        <f>Z156*W156</f>
        <v/>
      </c>
    </row>
    <row r="157">
      <c r="A157" s="15">
        <f>원데이터!A157</f>
        <v/>
      </c>
      <c r="B157" s="14">
        <f>원데이터!A157-DATE(YEAR(원데이터!A157),1,1)+1</f>
        <v/>
      </c>
      <c r="C157" s="17">
        <f>(원데이터!B157+원데이터!C157)/2</f>
        <v/>
      </c>
      <c r="D157" s="12">
        <f>0.6108*EXP(17.27*원데이터!B157/(원데이터!B157+237.3))</f>
        <v/>
      </c>
      <c r="E157" s="12">
        <f>0.6108*EXP(17.27*원데이터!C157/(원데이터!C157+237.3))</f>
        <v/>
      </c>
      <c r="F157" s="12">
        <f>(D157+E157)/2</f>
        <v/>
      </c>
      <c r="G157" s="12">
        <f>IF(원데이터!H157&lt;&gt;"",원데이터!H157/10,IF(원데이터!I157&lt;&gt;"",0.6108*EXP(17.27*원데이터!I157/(원데이터!I157+237.3)),원데이터!E157/100*F157))</f>
        <v/>
      </c>
      <c r="H157" s="21">
        <f>4098*(0.6108*EXP(17.27*C157/(C157+237.3)))/(C157+237.3)^2</f>
        <v/>
      </c>
      <c r="I157" s="17">
        <f>IF(원데이터!J157&lt;&gt;"",원데이터!J157/10,101.3*((293-0.0065*설정!$B$3)/293)^5.26)</f>
        <v/>
      </c>
      <c r="J157" s="21">
        <f>0.000665*I157</f>
        <v/>
      </c>
      <c r="K157" s="18">
        <f>원데이터!G157*4.87/LN(67.8*설정!$B$4-5.42)</f>
        <v/>
      </c>
      <c r="L157" s="12">
        <f>1+0.033*COS(2*PI()*B157/365)</f>
        <v/>
      </c>
      <c r="M157" s="21">
        <f>0.409*SIN(2*PI()*B157/365-1.39)</f>
        <v/>
      </c>
      <c r="N157" s="21">
        <f>ACOS(-TAN(RADIANS(설정!$B$2))*TAN(M157))</f>
        <v/>
      </c>
      <c r="O157" s="18">
        <f>(24*60/PI())*0.082*L157*(N157*SIN(RADIANS(설정!$B$2))*SIN(M157)+COS(RADIANS(설정!$B$2))*COS(M157)*SIN(N157))</f>
        <v/>
      </c>
      <c r="P157" s="18">
        <f>(0.75+0.00002*설정!$B$3)*O157</f>
        <v/>
      </c>
      <c r="Q157" s="18">
        <f>IF(원데이터!K157&lt;&gt;"",원데이터!K157,(0.25+0.5*원데이터!L157/(24/PI()*N157))*O157)</f>
        <v/>
      </c>
      <c r="R157" s="18">
        <f>0.77*Q157</f>
        <v/>
      </c>
      <c r="S157" s="18">
        <f>0.000000004903*(((원데이터!B157+273.16)^4+(원데이터!C157+273.16)^4)/2)*(0.34-0.14*SQRT(G157))*(1.35*MIN(Q157/P157,1)-0.35)</f>
        <v/>
      </c>
      <c r="T157" s="18">
        <f>R157-S157</f>
        <v/>
      </c>
      <c r="U157" s="18">
        <f>(0.408*H157*T157+J157*(900/(C157+273))*K157*(F157-G157))/(H157+J157*(1+0.34*K157))</f>
        <v/>
      </c>
      <c r="V157" s="11">
        <f>IF(원데이터!A157-설정!$B$16&lt;0,"발아전",IF(원데이터!A157-설정!$B$16&lt;설정!$B$17,"초기",IF(원데이터!A157-설정!$B$16&lt;설정!$B$17+설정!$B$18,"발육",IF(원데이터!A157-설정!$B$16&lt;설정!$B$17+설정!$B$18+설정!$B$19,"중기",IF(원데이터!A157-설정!$B$16&lt;설정!$B$17+설정!$B$18+설정!$B$19+설정!$B$20,"후기","후기이후")))))</f>
        <v/>
      </c>
      <c r="W157" s="12">
        <f>IF(원데이터!A157-설정!$B$16&lt;0,0,IF(원데이터!A157-설정!$B$16&lt;설정!$B$17,설정!$B$33,IF(원데이터!A157-설정!$B$16&lt;설정!$B$17+설정!$B$18,설정!$B$33+(설정!$B$34-설정!$B$33)*(원데이터!A157-설정!$B$16-설정!$B$17+1)/설정!$B$18,IF(원데이터!A157-설정!$B$16&lt;설정!$B$17+설정!$B$18+설정!$B$19,설정!$B$34,IF(원데이터!A157-설정!$B$16&lt;설정!$B$17+설정!$B$18+설정!$B$19+설정!$B$20,설정!$B$34+(설정!$B$35-설정!$B$34)*(원데이터!A157-설정!$B$16-설정!$B$17-설정!$B$18-설정!$B$19+1)/설정!$B$20,0)))))</f>
        <v/>
      </c>
      <c r="X157" s="12">
        <f>0.108-0.0286*K157+0.0422*LN(설정!$B$5)+0.1434*LN(원데이터!E157)-0.000631*LN(설정!$B$5)^2*LN(원데이터!E157)</f>
        <v/>
      </c>
      <c r="Y157" s="17">
        <f>원데이터!M157</f>
        <v/>
      </c>
      <c r="Z157" s="18">
        <f>X157*Y157</f>
        <v/>
      </c>
      <c r="AA157" s="18">
        <f>U157*W157</f>
        <v/>
      </c>
      <c r="AB157" s="18">
        <f>Z157*W157</f>
        <v/>
      </c>
    </row>
    <row r="158">
      <c r="A158" s="15">
        <f>원데이터!A158</f>
        <v/>
      </c>
      <c r="B158" s="14">
        <f>원데이터!A158-DATE(YEAR(원데이터!A158),1,1)+1</f>
        <v/>
      </c>
      <c r="C158" s="17">
        <f>(원데이터!B158+원데이터!C158)/2</f>
        <v/>
      </c>
      <c r="D158" s="12">
        <f>0.6108*EXP(17.27*원데이터!B158/(원데이터!B158+237.3))</f>
        <v/>
      </c>
      <c r="E158" s="12">
        <f>0.6108*EXP(17.27*원데이터!C158/(원데이터!C158+237.3))</f>
        <v/>
      </c>
      <c r="F158" s="12">
        <f>(D158+E158)/2</f>
        <v/>
      </c>
      <c r="G158" s="12">
        <f>IF(원데이터!H158&lt;&gt;"",원데이터!H158/10,IF(원데이터!I158&lt;&gt;"",0.6108*EXP(17.27*원데이터!I158/(원데이터!I158+237.3)),원데이터!E158/100*F158))</f>
        <v/>
      </c>
      <c r="H158" s="21">
        <f>4098*(0.6108*EXP(17.27*C158/(C158+237.3)))/(C158+237.3)^2</f>
        <v/>
      </c>
      <c r="I158" s="17">
        <f>IF(원데이터!J158&lt;&gt;"",원데이터!J158/10,101.3*((293-0.0065*설정!$B$3)/293)^5.26)</f>
        <v/>
      </c>
      <c r="J158" s="21">
        <f>0.000665*I158</f>
        <v/>
      </c>
      <c r="K158" s="18">
        <f>원데이터!G158*4.87/LN(67.8*설정!$B$4-5.42)</f>
        <v/>
      </c>
      <c r="L158" s="12">
        <f>1+0.033*COS(2*PI()*B158/365)</f>
        <v/>
      </c>
      <c r="M158" s="21">
        <f>0.409*SIN(2*PI()*B158/365-1.39)</f>
        <v/>
      </c>
      <c r="N158" s="21">
        <f>ACOS(-TAN(RADIANS(설정!$B$2))*TAN(M158))</f>
        <v/>
      </c>
      <c r="O158" s="18">
        <f>(24*60/PI())*0.082*L158*(N158*SIN(RADIANS(설정!$B$2))*SIN(M158)+COS(RADIANS(설정!$B$2))*COS(M158)*SIN(N158))</f>
        <v/>
      </c>
      <c r="P158" s="18">
        <f>(0.75+0.00002*설정!$B$3)*O158</f>
        <v/>
      </c>
      <c r="Q158" s="18">
        <f>IF(원데이터!K158&lt;&gt;"",원데이터!K158,(0.25+0.5*원데이터!L158/(24/PI()*N158))*O158)</f>
        <v/>
      </c>
      <c r="R158" s="18">
        <f>0.77*Q158</f>
        <v/>
      </c>
      <c r="S158" s="18">
        <f>0.000000004903*(((원데이터!B158+273.16)^4+(원데이터!C158+273.16)^4)/2)*(0.34-0.14*SQRT(G158))*(1.35*MIN(Q158/P158,1)-0.35)</f>
        <v/>
      </c>
      <c r="T158" s="18">
        <f>R158-S158</f>
        <v/>
      </c>
      <c r="U158" s="18">
        <f>(0.408*H158*T158+J158*(900/(C158+273))*K158*(F158-G158))/(H158+J158*(1+0.34*K158))</f>
        <v/>
      </c>
      <c r="V158" s="11">
        <f>IF(원데이터!A158-설정!$B$16&lt;0,"발아전",IF(원데이터!A158-설정!$B$16&lt;설정!$B$17,"초기",IF(원데이터!A158-설정!$B$16&lt;설정!$B$17+설정!$B$18,"발육",IF(원데이터!A158-설정!$B$16&lt;설정!$B$17+설정!$B$18+설정!$B$19,"중기",IF(원데이터!A158-설정!$B$16&lt;설정!$B$17+설정!$B$18+설정!$B$19+설정!$B$20,"후기","후기이후")))))</f>
        <v/>
      </c>
      <c r="W158" s="12">
        <f>IF(원데이터!A158-설정!$B$16&lt;0,0,IF(원데이터!A158-설정!$B$16&lt;설정!$B$17,설정!$B$33,IF(원데이터!A158-설정!$B$16&lt;설정!$B$17+설정!$B$18,설정!$B$33+(설정!$B$34-설정!$B$33)*(원데이터!A158-설정!$B$16-설정!$B$17+1)/설정!$B$18,IF(원데이터!A158-설정!$B$16&lt;설정!$B$17+설정!$B$18+설정!$B$19,설정!$B$34,IF(원데이터!A158-설정!$B$16&lt;설정!$B$17+설정!$B$18+설정!$B$19+설정!$B$20,설정!$B$34+(설정!$B$35-설정!$B$34)*(원데이터!A158-설정!$B$16-설정!$B$17-설정!$B$18-설정!$B$19+1)/설정!$B$20,0)))))</f>
        <v/>
      </c>
      <c r="X158" s="12">
        <f>0.108-0.0286*K158+0.0422*LN(설정!$B$5)+0.1434*LN(원데이터!E158)-0.000631*LN(설정!$B$5)^2*LN(원데이터!E158)</f>
        <v/>
      </c>
      <c r="Y158" s="17">
        <f>원데이터!M158</f>
        <v/>
      </c>
      <c r="Z158" s="18">
        <f>X158*Y158</f>
        <v/>
      </c>
      <c r="AA158" s="18">
        <f>U158*W158</f>
        <v/>
      </c>
      <c r="AB158" s="18">
        <f>Z158*W158</f>
        <v/>
      </c>
    </row>
    <row r="159">
      <c r="A159" s="15">
        <f>원데이터!A159</f>
        <v/>
      </c>
      <c r="B159" s="14">
        <f>원데이터!A159-DATE(YEAR(원데이터!A159),1,1)+1</f>
        <v/>
      </c>
      <c r="C159" s="17">
        <f>(원데이터!B159+원데이터!C159)/2</f>
        <v/>
      </c>
      <c r="D159" s="12">
        <f>0.6108*EXP(17.27*원데이터!B159/(원데이터!B159+237.3))</f>
        <v/>
      </c>
      <c r="E159" s="12">
        <f>0.6108*EXP(17.27*원데이터!C159/(원데이터!C159+237.3))</f>
        <v/>
      </c>
      <c r="F159" s="12">
        <f>(D159+E159)/2</f>
        <v/>
      </c>
      <c r="G159" s="12">
        <f>IF(원데이터!H159&lt;&gt;"",원데이터!H159/10,IF(원데이터!I159&lt;&gt;"",0.6108*EXP(17.27*원데이터!I159/(원데이터!I159+237.3)),원데이터!E159/100*F159))</f>
        <v/>
      </c>
      <c r="H159" s="21">
        <f>4098*(0.6108*EXP(17.27*C159/(C159+237.3)))/(C159+237.3)^2</f>
        <v/>
      </c>
      <c r="I159" s="17">
        <f>IF(원데이터!J159&lt;&gt;"",원데이터!J159/10,101.3*((293-0.0065*설정!$B$3)/293)^5.26)</f>
        <v/>
      </c>
      <c r="J159" s="21">
        <f>0.000665*I159</f>
        <v/>
      </c>
      <c r="K159" s="18">
        <f>원데이터!G159*4.87/LN(67.8*설정!$B$4-5.42)</f>
        <v/>
      </c>
      <c r="L159" s="12">
        <f>1+0.033*COS(2*PI()*B159/365)</f>
        <v/>
      </c>
      <c r="M159" s="21">
        <f>0.409*SIN(2*PI()*B159/365-1.39)</f>
        <v/>
      </c>
      <c r="N159" s="21">
        <f>ACOS(-TAN(RADIANS(설정!$B$2))*TAN(M159))</f>
        <v/>
      </c>
      <c r="O159" s="18">
        <f>(24*60/PI())*0.082*L159*(N159*SIN(RADIANS(설정!$B$2))*SIN(M159)+COS(RADIANS(설정!$B$2))*COS(M159)*SIN(N159))</f>
        <v/>
      </c>
      <c r="P159" s="18">
        <f>(0.75+0.00002*설정!$B$3)*O159</f>
        <v/>
      </c>
      <c r="Q159" s="18">
        <f>IF(원데이터!K159&lt;&gt;"",원데이터!K159,(0.25+0.5*원데이터!L159/(24/PI()*N159))*O159)</f>
        <v/>
      </c>
      <c r="R159" s="18">
        <f>0.77*Q159</f>
        <v/>
      </c>
      <c r="S159" s="18">
        <f>0.000000004903*(((원데이터!B159+273.16)^4+(원데이터!C159+273.16)^4)/2)*(0.34-0.14*SQRT(G159))*(1.35*MIN(Q159/P159,1)-0.35)</f>
        <v/>
      </c>
      <c r="T159" s="18">
        <f>R159-S159</f>
        <v/>
      </c>
      <c r="U159" s="18">
        <f>(0.408*H159*T159+J159*(900/(C159+273))*K159*(F159-G159))/(H159+J159*(1+0.34*K159))</f>
        <v/>
      </c>
      <c r="V159" s="11">
        <f>IF(원데이터!A159-설정!$B$16&lt;0,"발아전",IF(원데이터!A159-설정!$B$16&lt;설정!$B$17,"초기",IF(원데이터!A159-설정!$B$16&lt;설정!$B$17+설정!$B$18,"발육",IF(원데이터!A159-설정!$B$16&lt;설정!$B$17+설정!$B$18+설정!$B$19,"중기",IF(원데이터!A159-설정!$B$16&lt;설정!$B$17+설정!$B$18+설정!$B$19+설정!$B$20,"후기","후기이후")))))</f>
        <v/>
      </c>
      <c r="W159" s="12">
        <f>IF(원데이터!A159-설정!$B$16&lt;0,0,IF(원데이터!A159-설정!$B$16&lt;설정!$B$17,설정!$B$33,IF(원데이터!A159-설정!$B$16&lt;설정!$B$17+설정!$B$18,설정!$B$33+(설정!$B$34-설정!$B$33)*(원데이터!A159-설정!$B$16-설정!$B$17+1)/설정!$B$18,IF(원데이터!A159-설정!$B$16&lt;설정!$B$17+설정!$B$18+설정!$B$19,설정!$B$34,IF(원데이터!A159-설정!$B$16&lt;설정!$B$17+설정!$B$18+설정!$B$19+설정!$B$20,설정!$B$34+(설정!$B$35-설정!$B$34)*(원데이터!A159-설정!$B$16-설정!$B$17-설정!$B$18-설정!$B$19+1)/설정!$B$20,0)))))</f>
        <v/>
      </c>
      <c r="X159" s="12">
        <f>0.108-0.0286*K159+0.0422*LN(설정!$B$5)+0.1434*LN(원데이터!E159)-0.000631*LN(설정!$B$5)^2*LN(원데이터!E159)</f>
        <v/>
      </c>
      <c r="Y159" s="17">
        <f>원데이터!M159</f>
        <v/>
      </c>
      <c r="Z159" s="18">
        <f>X159*Y159</f>
        <v/>
      </c>
      <c r="AA159" s="18">
        <f>U159*W159</f>
        <v/>
      </c>
      <c r="AB159" s="18">
        <f>Z159*W159</f>
        <v/>
      </c>
    </row>
    <row r="160">
      <c r="A160" s="15">
        <f>원데이터!A160</f>
        <v/>
      </c>
      <c r="B160" s="14">
        <f>원데이터!A160-DATE(YEAR(원데이터!A160),1,1)+1</f>
        <v/>
      </c>
      <c r="C160" s="17">
        <f>(원데이터!B160+원데이터!C160)/2</f>
        <v/>
      </c>
      <c r="D160" s="12">
        <f>0.6108*EXP(17.27*원데이터!B160/(원데이터!B160+237.3))</f>
        <v/>
      </c>
      <c r="E160" s="12">
        <f>0.6108*EXP(17.27*원데이터!C160/(원데이터!C160+237.3))</f>
        <v/>
      </c>
      <c r="F160" s="12">
        <f>(D160+E160)/2</f>
        <v/>
      </c>
      <c r="G160" s="12">
        <f>IF(원데이터!H160&lt;&gt;"",원데이터!H160/10,IF(원데이터!I160&lt;&gt;"",0.6108*EXP(17.27*원데이터!I160/(원데이터!I160+237.3)),원데이터!E160/100*F160))</f>
        <v/>
      </c>
      <c r="H160" s="21">
        <f>4098*(0.6108*EXP(17.27*C160/(C160+237.3)))/(C160+237.3)^2</f>
        <v/>
      </c>
      <c r="I160" s="17">
        <f>IF(원데이터!J160&lt;&gt;"",원데이터!J160/10,101.3*((293-0.0065*설정!$B$3)/293)^5.26)</f>
        <v/>
      </c>
      <c r="J160" s="21">
        <f>0.000665*I160</f>
        <v/>
      </c>
      <c r="K160" s="18">
        <f>원데이터!G160*4.87/LN(67.8*설정!$B$4-5.42)</f>
        <v/>
      </c>
      <c r="L160" s="12">
        <f>1+0.033*COS(2*PI()*B160/365)</f>
        <v/>
      </c>
      <c r="M160" s="21">
        <f>0.409*SIN(2*PI()*B160/365-1.39)</f>
        <v/>
      </c>
      <c r="N160" s="21">
        <f>ACOS(-TAN(RADIANS(설정!$B$2))*TAN(M160))</f>
        <v/>
      </c>
      <c r="O160" s="18">
        <f>(24*60/PI())*0.082*L160*(N160*SIN(RADIANS(설정!$B$2))*SIN(M160)+COS(RADIANS(설정!$B$2))*COS(M160)*SIN(N160))</f>
        <v/>
      </c>
      <c r="P160" s="18">
        <f>(0.75+0.00002*설정!$B$3)*O160</f>
        <v/>
      </c>
      <c r="Q160" s="18">
        <f>IF(원데이터!K160&lt;&gt;"",원데이터!K160,(0.25+0.5*원데이터!L160/(24/PI()*N160))*O160)</f>
        <v/>
      </c>
      <c r="R160" s="18">
        <f>0.77*Q160</f>
        <v/>
      </c>
      <c r="S160" s="18">
        <f>0.000000004903*(((원데이터!B160+273.16)^4+(원데이터!C160+273.16)^4)/2)*(0.34-0.14*SQRT(G160))*(1.35*MIN(Q160/P160,1)-0.35)</f>
        <v/>
      </c>
      <c r="T160" s="18">
        <f>R160-S160</f>
        <v/>
      </c>
      <c r="U160" s="18">
        <f>(0.408*H160*T160+J160*(900/(C160+273))*K160*(F160-G160))/(H160+J160*(1+0.34*K160))</f>
        <v/>
      </c>
      <c r="V160" s="11">
        <f>IF(원데이터!A160-설정!$B$16&lt;0,"발아전",IF(원데이터!A160-설정!$B$16&lt;설정!$B$17,"초기",IF(원데이터!A160-설정!$B$16&lt;설정!$B$17+설정!$B$18,"발육",IF(원데이터!A160-설정!$B$16&lt;설정!$B$17+설정!$B$18+설정!$B$19,"중기",IF(원데이터!A160-설정!$B$16&lt;설정!$B$17+설정!$B$18+설정!$B$19+설정!$B$20,"후기","후기이후")))))</f>
        <v/>
      </c>
      <c r="W160" s="12">
        <f>IF(원데이터!A160-설정!$B$16&lt;0,0,IF(원데이터!A160-설정!$B$16&lt;설정!$B$17,설정!$B$33,IF(원데이터!A160-설정!$B$16&lt;설정!$B$17+설정!$B$18,설정!$B$33+(설정!$B$34-설정!$B$33)*(원데이터!A160-설정!$B$16-설정!$B$17+1)/설정!$B$18,IF(원데이터!A160-설정!$B$16&lt;설정!$B$17+설정!$B$18+설정!$B$19,설정!$B$34,IF(원데이터!A160-설정!$B$16&lt;설정!$B$17+설정!$B$18+설정!$B$19+설정!$B$20,설정!$B$34+(설정!$B$35-설정!$B$34)*(원데이터!A160-설정!$B$16-설정!$B$17-설정!$B$18-설정!$B$19+1)/설정!$B$20,0)))))</f>
        <v/>
      </c>
      <c r="X160" s="12">
        <f>0.108-0.0286*K160+0.0422*LN(설정!$B$5)+0.1434*LN(원데이터!E160)-0.000631*LN(설정!$B$5)^2*LN(원데이터!E160)</f>
        <v/>
      </c>
      <c r="Y160" s="17">
        <f>원데이터!M160</f>
        <v/>
      </c>
      <c r="Z160" s="18">
        <f>X160*Y160</f>
        <v/>
      </c>
      <c r="AA160" s="18">
        <f>U160*W160</f>
        <v/>
      </c>
      <c r="AB160" s="18">
        <f>Z160*W160</f>
        <v/>
      </c>
    </row>
    <row r="161">
      <c r="A161" s="15">
        <f>원데이터!A161</f>
        <v/>
      </c>
      <c r="B161" s="14">
        <f>원데이터!A161-DATE(YEAR(원데이터!A161),1,1)+1</f>
        <v/>
      </c>
      <c r="C161" s="17">
        <f>(원데이터!B161+원데이터!C161)/2</f>
        <v/>
      </c>
      <c r="D161" s="12">
        <f>0.6108*EXP(17.27*원데이터!B161/(원데이터!B161+237.3))</f>
        <v/>
      </c>
      <c r="E161" s="12">
        <f>0.6108*EXP(17.27*원데이터!C161/(원데이터!C161+237.3))</f>
        <v/>
      </c>
      <c r="F161" s="12">
        <f>(D161+E161)/2</f>
        <v/>
      </c>
      <c r="G161" s="12">
        <f>IF(원데이터!H161&lt;&gt;"",원데이터!H161/10,IF(원데이터!I161&lt;&gt;"",0.6108*EXP(17.27*원데이터!I161/(원데이터!I161+237.3)),원데이터!E161/100*F161))</f>
        <v/>
      </c>
      <c r="H161" s="21">
        <f>4098*(0.6108*EXP(17.27*C161/(C161+237.3)))/(C161+237.3)^2</f>
        <v/>
      </c>
      <c r="I161" s="17">
        <f>IF(원데이터!J161&lt;&gt;"",원데이터!J161/10,101.3*((293-0.0065*설정!$B$3)/293)^5.26)</f>
        <v/>
      </c>
      <c r="J161" s="21">
        <f>0.000665*I161</f>
        <v/>
      </c>
      <c r="K161" s="18">
        <f>원데이터!G161*4.87/LN(67.8*설정!$B$4-5.42)</f>
        <v/>
      </c>
      <c r="L161" s="12">
        <f>1+0.033*COS(2*PI()*B161/365)</f>
        <v/>
      </c>
      <c r="M161" s="21">
        <f>0.409*SIN(2*PI()*B161/365-1.39)</f>
        <v/>
      </c>
      <c r="N161" s="21">
        <f>ACOS(-TAN(RADIANS(설정!$B$2))*TAN(M161))</f>
        <v/>
      </c>
      <c r="O161" s="18">
        <f>(24*60/PI())*0.082*L161*(N161*SIN(RADIANS(설정!$B$2))*SIN(M161)+COS(RADIANS(설정!$B$2))*COS(M161)*SIN(N161))</f>
        <v/>
      </c>
      <c r="P161" s="18">
        <f>(0.75+0.00002*설정!$B$3)*O161</f>
        <v/>
      </c>
      <c r="Q161" s="18">
        <f>IF(원데이터!K161&lt;&gt;"",원데이터!K161,(0.25+0.5*원데이터!L161/(24/PI()*N161))*O161)</f>
        <v/>
      </c>
      <c r="R161" s="18">
        <f>0.77*Q161</f>
        <v/>
      </c>
      <c r="S161" s="18">
        <f>0.000000004903*(((원데이터!B161+273.16)^4+(원데이터!C161+273.16)^4)/2)*(0.34-0.14*SQRT(G161))*(1.35*MIN(Q161/P161,1)-0.35)</f>
        <v/>
      </c>
      <c r="T161" s="18">
        <f>R161-S161</f>
        <v/>
      </c>
      <c r="U161" s="18">
        <f>(0.408*H161*T161+J161*(900/(C161+273))*K161*(F161-G161))/(H161+J161*(1+0.34*K161))</f>
        <v/>
      </c>
      <c r="V161" s="11">
        <f>IF(원데이터!A161-설정!$B$16&lt;0,"발아전",IF(원데이터!A161-설정!$B$16&lt;설정!$B$17,"초기",IF(원데이터!A161-설정!$B$16&lt;설정!$B$17+설정!$B$18,"발육",IF(원데이터!A161-설정!$B$16&lt;설정!$B$17+설정!$B$18+설정!$B$19,"중기",IF(원데이터!A161-설정!$B$16&lt;설정!$B$17+설정!$B$18+설정!$B$19+설정!$B$20,"후기","후기이후")))))</f>
        <v/>
      </c>
      <c r="W161" s="12">
        <f>IF(원데이터!A161-설정!$B$16&lt;0,0,IF(원데이터!A161-설정!$B$16&lt;설정!$B$17,설정!$B$33,IF(원데이터!A161-설정!$B$16&lt;설정!$B$17+설정!$B$18,설정!$B$33+(설정!$B$34-설정!$B$33)*(원데이터!A161-설정!$B$16-설정!$B$17+1)/설정!$B$18,IF(원데이터!A161-설정!$B$16&lt;설정!$B$17+설정!$B$18+설정!$B$19,설정!$B$34,IF(원데이터!A161-설정!$B$16&lt;설정!$B$17+설정!$B$18+설정!$B$19+설정!$B$20,설정!$B$34+(설정!$B$35-설정!$B$34)*(원데이터!A161-설정!$B$16-설정!$B$17-설정!$B$18-설정!$B$19+1)/설정!$B$20,0)))))</f>
        <v/>
      </c>
      <c r="X161" s="12">
        <f>0.108-0.0286*K161+0.0422*LN(설정!$B$5)+0.1434*LN(원데이터!E161)-0.000631*LN(설정!$B$5)^2*LN(원데이터!E161)</f>
        <v/>
      </c>
      <c r="Y161" s="17">
        <f>원데이터!M161</f>
        <v/>
      </c>
      <c r="Z161" s="18">
        <f>X161*Y161</f>
        <v/>
      </c>
      <c r="AA161" s="18">
        <f>U161*W161</f>
        <v/>
      </c>
      <c r="AB161" s="18">
        <f>Z161*W161</f>
        <v/>
      </c>
    </row>
    <row r="162">
      <c r="A162" s="15">
        <f>원데이터!A162</f>
        <v/>
      </c>
      <c r="B162" s="14">
        <f>원데이터!A162-DATE(YEAR(원데이터!A162),1,1)+1</f>
        <v/>
      </c>
      <c r="C162" s="17">
        <f>(원데이터!B162+원데이터!C162)/2</f>
        <v/>
      </c>
      <c r="D162" s="12">
        <f>0.6108*EXP(17.27*원데이터!B162/(원데이터!B162+237.3))</f>
        <v/>
      </c>
      <c r="E162" s="12">
        <f>0.6108*EXP(17.27*원데이터!C162/(원데이터!C162+237.3))</f>
        <v/>
      </c>
      <c r="F162" s="12">
        <f>(D162+E162)/2</f>
        <v/>
      </c>
      <c r="G162" s="12">
        <f>IF(원데이터!H162&lt;&gt;"",원데이터!H162/10,IF(원데이터!I162&lt;&gt;"",0.6108*EXP(17.27*원데이터!I162/(원데이터!I162+237.3)),원데이터!E162/100*F162))</f>
        <v/>
      </c>
      <c r="H162" s="21">
        <f>4098*(0.6108*EXP(17.27*C162/(C162+237.3)))/(C162+237.3)^2</f>
        <v/>
      </c>
      <c r="I162" s="17">
        <f>IF(원데이터!J162&lt;&gt;"",원데이터!J162/10,101.3*((293-0.0065*설정!$B$3)/293)^5.26)</f>
        <v/>
      </c>
      <c r="J162" s="21">
        <f>0.000665*I162</f>
        <v/>
      </c>
      <c r="K162" s="18">
        <f>원데이터!G162*4.87/LN(67.8*설정!$B$4-5.42)</f>
        <v/>
      </c>
      <c r="L162" s="12">
        <f>1+0.033*COS(2*PI()*B162/365)</f>
        <v/>
      </c>
      <c r="M162" s="21">
        <f>0.409*SIN(2*PI()*B162/365-1.39)</f>
        <v/>
      </c>
      <c r="N162" s="21">
        <f>ACOS(-TAN(RADIANS(설정!$B$2))*TAN(M162))</f>
        <v/>
      </c>
      <c r="O162" s="18">
        <f>(24*60/PI())*0.082*L162*(N162*SIN(RADIANS(설정!$B$2))*SIN(M162)+COS(RADIANS(설정!$B$2))*COS(M162)*SIN(N162))</f>
        <v/>
      </c>
      <c r="P162" s="18">
        <f>(0.75+0.00002*설정!$B$3)*O162</f>
        <v/>
      </c>
      <c r="Q162" s="18">
        <f>IF(원데이터!K162&lt;&gt;"",원데이터!K162,(0.25+0.5*원데이터!L162/(24/PI()*N162))*O162)</f>
        <v/>
      </c>
      <c r="R162" s="18">
        <f>0.77*Q162</f>
        <v/>
      </c>
      <c r="S162" s="18">
        <f>0.000000004903*(((원데이터!B162+273.16)^4+(원데이터!C162+273.16)^4)/2)*(0.34-0.14*SQRT(G162))*(1.35*MIN(Q162/P162,1)-0.35)</f>
        <v/>
      </c>
      <c r="T162" s="18">
        <f>R162-S162</f>
        <v/>
      </c>
      <c r="U162" s="18">
        <f>(0.408*H162*T162+J162*(900/(C162+273))*K162*(F162-G162))/(H162+J162*(1+0.34*K162))</f>
        <v/>
      </c>
      <c r="V162" s="11">
        <f>IF(원데이터!A162-설정!$B$16&lt;0,"발아전",IF(원데이터!A162-설정!$B$16&lt;설정!$B$17,"초기",IF(원데이터!A162-설정!$B$16&lt;설정!$B$17+설정!$B$18,"발육",IF(원데이터!A162-설정!$B$16&lt;설정!$B$17+설정!$B$18+설정!$B$19,"중기",IF(원데이터!A162-설정!$B$16&lt;설정!$B$17+설정!$B$18+설정!$B$19+설정!$B$20,"후기","후기이후")))))</f>
        <v/>
      </c>
      <c r="W162" s="12">
        <f>IF(원데이터!A162-설정!$B$16&lt;0,0,IF(원데이터!A162-설정!$B$16&lt;설정!$B$17,설정!$B$33,IF(원데이터!A162-설정!$B$16&lt;설정!$B$17+설정!$B$18,설정!$B$33+(설정!$B$34-설정!$B$33)*(원데이터!A162-설정!$B$16-설정!$B$17+1)/설정!$B$18,IF(원데이터!A162-설정!$B$16&lt;설정!$B$17+설정!$B$18+설정!$B$19,설정!$B$34,IF(원데이터!A162-설정!$B$16&lt;설정!$B$17+설정!$B$18+설정!$B$19+설정!$B$20,설정!$B$34+(설정!$B$35-설정!$B$34)*(원데이터!A162-설정!$B$16-설정!$B$17-설정!$B$18-설정!$B$19+1)/설정!$B$20,0)))))</f>
        <v/>
      </c>
      <c r="X162" s="12">
        <f>0.108-0.0286*K162+0.0422*LN(설정!$B$5)+0.1434*LN(원데이터!E162)-0.000631*LN(설정!$B$5)^2*LN(원데이터!E162)</f>
        <v/>
      </c>
      <c r="Y162" s="17">
        <f>원데이터!M162</f>
        <v/>
      </c>
      <c r="Z162" s="18">
        <f>X162*Y162</f>
        <v/>
      </c>
      <c r="AA162" s="18">
        <f>U162*W162</f>
        <v/>
      </c>
      <c r="AB162" s="18">
        <f>Z162*W162</f>
        <v/>
      </c>
    </row>
    <row r="163">
      <c r="A163" s="15">
        <f>원데이터!A163</f>
        <v/>
      </c>
      <c r="B163" s="14">
        <f>원데이터!A163-DATE(YEAR(원데이터!A163),1,1)+1</f>
        <v/>
      </c>
      <c r="C163" s="17">
        <f>(원데이터!B163+원데이터!C163)/2</f>
        <v/>
      </c>
      <c r="D163" s="12">
        <f>0.6108*EXP(17.27*원데이터!B163/(원데이터!B163+237.3))</f>
        <v/>
      </c>
      <c r="E163" s="12">
        <f>0.6108*EXP(17.27*원데이터!C163/(원데이터!C163+237.3))</f>
        <v/>
      </c>
      <c r="F163" s="12">
        <f>(D163+E163)/2</f>
        <v/>
      </c>
      <c r="G163" s="12">
        <f>IF(원데이터!H163&lt;&gt;"",원데이터!H163/10,IF(원데이터!I163&lt;&gt;"",0.6108*EXP(17.27*원데이터!I163/(원데이터!I163+237.3)),원데이터!E163/100*F163))</f>
        <v/>
      </c>
      <c r="H163" s="21">
        <f>4098*(0.6108*EXP(17.27*C163/(C163+237.3)))/(C163+237.3)^2</f>
        <v/>
      </c>
      <c r="I163" s="17">
        <f>IF(원데이터!J163&lt;&gt;"",원데이터!J163/10,101.3*((293-0.0065*설정!$B$3)/293)^5.26)</f>
        <v/>
      </c>
      <c r="J163" s="21">
        <f>0.000665*I163</f>
        <v/>
      </c>
      <c r="K163" s="18">
        <f>원데이터!G163*4.87/LN(67.8*설정!$B$4-5.42)</f>
        <v/>
      </c>
      <c r="L163" s="12">
        <f>1+0.033*COS(2*PI()*B163/365)</f>
        <v/>
      </c>
      <c r="M163" s="21">
        <f>0.409*SIN(2*PI()*B163/365-1.39)</f>
        <v/>
      </c>
      <c r="N163" s="21">
        <f>ACOS(-TAN(RADIANS(설정!$B$2))*TAN(M163))</f>
        <v/>
      </c>
      <c r="O163" s="18">
        <f>(24*60/PI())*0.082*L163*(N163*SIN(RADIANS(설정!$B$2))*SIN(M163)+COS(RADIANS(설정!$B$2))*COS(M163)*SIN(N163))</f>
        <v/>
      </c>
      <c r="P163" s="18">
        <f>(0.75+0.00002*설정!$B$3)*O163</f>
        <v/>
      </c>
      <c r="Q163" s="18">
        <f>IF(원데이터!K163&lt;&gt;"",원데이터!K163,(0.25+0.5*원데이터!L163/(24/PI()*N163))*O163)</f>
        <v/>
      </c>
      <c r="R163" s="18">
        <f>0.77*Q163</f>
        <v/>
      </c>
      <c r="S163" s="18">
        <f>0.000000004903*(((원데이터!B163+273.16)^4+(원데이터!C163+273.16)^4)/2)*(0.34-0.14*SQRT(G163))*(1.35*MIN(Q163/P163,1)-0.35)</f>
        <v/>
      </c>
      <c r="T163" s="18">
        <f>R163-S163</f>
        <v/>
      </c>
      <c r="U163" s="18">
        <f>(0.408*H163*T163+J163*(900/(C163+273))*K163*(F163-G163))/(H163+J163*(1+0.34*K163))</f>
        <v/>
      </c>
      <c r="V163" s="11">
        <f>IF(원데이터!A163-설정!$B$16&lt;0,"발아전",IF(원데이터!A163-설정!$B$16&lt;설정!$B$17,"초기",IF(원데이터!A163-설정!$B$16&lt;설정!$B$17+설정!$B$18,"발육",IF(원데이터!A163-설정!$B$16&lt;설정!$B$17+설정!$B$18+설정!$B$19,"중기",IF(원데이터!A163-설정!$B$16&lt;설정!$B$17+설정!$B$18+설정!$B$19+설정!$B$20,"후기","후기이후")))))</f>
        <v/>
      </c>
      <c r="W163" s="12">
        <f>IF(원데이터!A163-설정!$B$16&lt;0,0,IF(원데이터!A163-설정!$B$16&lt;설정!$B$17,설정!$B$33,IF(원데이터!A163-설정!$B$16&lt;설정!$B$17+설정!$B$18,설정!$B$33+(설정!$B$34-설정!$B$33)*(원데이터!A163-설정!$B$16-설정!$B$17+1)/설정!$B$18,IF(원데이터!A163-설정!$B$16&lt;설정!$B$17+설정!$B$18+설정!$B$19,설정!$B$34,IF(원데이터!A163-설정!$B$16&lt;설정!$B$17+설정!$B$18+설정!$B$19+설정!$B$20,설정!$B$34+(설정!$B$35-설정!$B$34)*(원데이터!A163-설정!$B$16-설정!$B$17-설정!$B$18-설정!$B$19+1)/설정!$B$20,0)))))</f>
        <v/>
      </c>
      <c r="X163" s="12">
        <f>0.108-0.0286*K163+0.0422*LN(설정!$B$5)+0.1434*LN(원데이터!E163)-0.000631*LN(설정!$B$5)^2*LN(원데이터!E163)</f>
        <v/>
      </c>
      <c r="Y163" s="17">
        <f>원데이터!M163</f>
        <v/>
      </c>
      <c r="Z163" s="18">
        <f>X163*Y163</f>
        <v/>
      </c>
      <c r="AA163" s="18">
        <f>U163*W163</f>
        <v/>
      </c>
      <c r="AB163" s="18">
        <f>Z163*W163</f>
        <v/>
      </c>
    </row>
    <row r="164">
      <c r="A164" s="15">
        <f>원데이터!A164</f>
        <v/>
      </c>
      <c r="B164" s="14">
        <f>원데이터!A164-DATE(YEAR(원데이터!A164),1,1)+1</f>
        <v/>
      </c>
      <c r="C164" s="17">
        <f>(원데이터!B164+원데이터!C164)/2</f>
        <v/>
      </c>
      <c r="D164" s="12">
        <f>0.6108*EXP(17.27*원데이터!B164/(원데이터!B164+237.3))</f>
        <v/>
      </c>
      <c r="E164" s="12">
        <f>0.6108*EXP(17.27*원데이터!C164/(원데이터!C164+237.3))</f>
        <v/>
      </c>
      <c r="F164" s="12">
        <f>(D164+E164)/2</f>
        <v/>
      </c>
      <c r="G164" s="12">
        <f>IF(원데이터!H164&lt;&gt;"",원데이터!H164/10,IF(원데이터!I164&lt;&gt;"",0.6108*EXP(17.27*원데이터!I164/(원데이터!I164+237.3)),원데이터!E164/100*F164))</f>
        <v/>
      </c>
      <c r="H164" s="21">
        <f>4098*(0.6108*EXP(17.27*C164/(C164+237.3)))/(C164+237.3)^2</f>
        <v/>
      </c>
      <c r="I164" s="17">
        <f>IF(원데이터!J164&lt;&gt;"",원데이터!J164/10,101.3*((293-0.0065*설정!$B$3)/293)^5.26)</f>
        <v/>
      </c>
      <c r="J164" s="21">
        <f>0.000665*I164</f>
        <v/>
      </c>
      <c r="K164" s="18">
        <f>원데이터!G164*4.87/LN(67.8*설정!$B$4-5.42)</f>
        <v/>
      </c>
      <c r="L164" s="12">
        <f>1+0.033*COS(2*PI()*B164/365)</f>
        <v/>
      </c>
      <c r="M164" s="21">
        <f>0.409*SIN(2*PI()*B164/365-1.39)</f>
        <v/>
      </c>
      <c r="N164" s="21">
        <f>ACOS(-TAN(RADIANS(설정!$B$2))*TAN(M164))</f>
        <v/>
      </c>
      <c r="O164" s="18">
        <f>(24*60/PI())*0.082*L164*(N164*SIN(RADIANS(설정!$B$2))*SIN(M164)+COS(RADIANS(설정!$B$2))*COS(M164)*SIN(N164))</f>
        <v/>
      </c>
      <c r="P164" s="18">
        <f>(0.75+0.00002*설정!$B$3)*O164</f>
        <v/>
      </c>
      <c r="Q164" s="18">
        <f>IF(원데이터!K164&lt;&gt;"",원데이터!K164,(0.25+0.5*원데이터!L164/(24/PI()*N164))*O164)</f>
        <v/>
      </c>
      <c r="R164" s="18">
        <f>0.77*Q164</f>
        <v/>
      </c>
      <c r="S164" s="18">
        <f>0.000000004903*(((원데이터!B164+273.16)^4+(원데이터!C164+273.16)^4)/2)*(0.34-0.14*SQRT(G164))*(1.35*MIN(Q164/P164,1)-0.35)</f>
        <v/>
      </c>
      <c r="T164" s="18">
        <f>R164-S164</f>
        <v/>
      </c>
      <c r="U164" s="18">
        <f>(0.408*H164*T164+J164*(900/(C164+273))*K164*(F164-G164))/(H164+J164*(1+0.34*K164))</f>
        <v/>
      </c>
      <c r="V164" s="11">
        <f>IF(원데이터!A164-설정!$B$16&lt;0,"발아전",IF(원데이터!A164-설정!$B$16&lt;설정!$B$17,"초기",IF(원데이터!A164-설정!$B$16&lt;설정!$B$17+설정!$B$18,"발육",IF(원데이터!A164-설정!$B$16&lt;설정!$B$17+설정!$B$18+설정!$B$19,"중기",IF(원데이터!A164-설정!$B$16&lt;설정!$B$17+설정!$B$18+설정!$B$19+설정!$B$20,"후기","후기이후")))))</f>
        <v/>
      </c>
      <c r="W164" s="12">
        <f>IF(원데이터!A164-설정!$B$16&lt;0,0,IF(원데이터!A164-설정!$B$16&lt;설정!$B$17,설정!$B$33,IF(원데이터!A164-설정!$B$16&lt;설정!$B$17+설정!$B$18,설정!$B$33+(설정!$B$34-설정!$B$33)*(원데이터!A164-설정!$B$16-설정!$B$17+1)/설정!$B$18,IF(원데이터!A164-설정!$B$16&lt;설정!$B$17+설정!$B$18+설정!$B$19,설정!$B$34,IF(원데이터!A164-설정!$B$16&lt;설정!$B$17+설정!$B$18+설정!$B$19+설정!$B$20,설정!$B$34+(설정!$B$35-설정!$B$34)*(원데이터!A164-설정!$B$16-설정!$B$17-설정!$B$18-설정!$B$19+1)/설정!$B$20,0)))))</f>
        <v/>
      </c>
      <c r="X164" s="12">
        <f>0.108-0.0286*K164+0.0422*LN(설정!$B$5)+0.1434*LN(원데이터!E164)-0.000631*LN(설정!$B$5)^2*LN(원데이터!E164)</f>
        <v/>
      </c>
      <c r="Y164" s="17">
        <f>원데이터!M164</f>
        <v/>
      </c>
      <c r="Z164" s="18">
        <f>X164*Y164</f>
        <v/>
      </c>
      <c r="AA164" s="18">
        <f>U164*W164</f>
        <v/>
      </c>
      <c r="AB164" s="18">
        <f>Z164*W164</f>
        <v/>
      </c>
    </row>
    <row r="165">
      <c r="A165" s="15">
        <f>원데이터!A165</f>
        <v/>
      </c>
      <c r="B165" s="14">
        <f>원데이터!A165-DATE(YEAR(원데이터!A165),1,1)+1</f>
        <v/>
      </c>
      <c r="C165" s="17">
        <f>(원데이터!B165+원데이터!C165)/2</f>
        <v/>
      </c>
      <c r="D165" s="12">
        <f>0.6108*EXP(17.27*원데이터!B165/(원데이터!B165+237.3))</f>
        <v/>
      </c>
      <c r="E165" s="12">
        <f>0.6108*EXP(17.27*원데이터!C165/(원데이터!C165+237.3))</f>
        <v/>
      </c>
      <c r="F165" s="12">
        <f>(D165+E165)/2</f>
        <v/>
      </c>
      <c r="G165" s="12">
        <f>IF(원데이터!H165&lt;&gt;"",원데이터!H165/10,IF(원데이터!I165&lt;&gt;"",0.6108*EXP(17.27*원데이터!I165/(원데이터!I165+237.3)),원데이터!E165/100*F165))</f>
        <v/>
      </c>
      <c r="H165" s="21">
        <f>4098*(0.6108*EXP(17.27*C165/(C165+237.3)))/(C165+237.3)^2</f>
        <v/>
      </c>
      <c r="I165" s="17">
        <f>IF(원데이터!J165&lt;&gt;"",원데이터!J165/10,101.3*((293-0.0065*설정!$B$3)/293)^5.26)</f>
        <v/>
      </c>
      <c r="J165" s="21">
        <f>0.000665*I165</f>
        <v/>
      </c>
      <c r="K165" s="18">
        <f>원데이터!G165*4.87/LN(67.8*설정!$B$4-5.42)</f>
        <v/>
      </c>
      <c r="L165" s="12">
        <f>1+0.033*COS(2*PI()*B165/365)</f>
        <v/>
      </c>
      <c r="M165" s="21">
        <f>0.409*SIN(2*PI()*B165/365-1.39)</f>
        <v/>
      </c>
      <c r="N165" s="21">
        <f>ACOS(-TAN(RADIANS(설정!$B$2))*TAN(M165))</f>
        <v/>
      </c>
      <c r="O165" s="18">
        <f>(24*60/PI())*0.082*L165*(N165*SIN(RADIANS(설정!$B$2))*SIN(M165)+COS(RADIANS(설정!$B$2))*COS(M165)*SIN(N165))</f>
        <v/>
      </c>
      <c r="P165" s="18">
        <f>(0.75+0.00002*설정!$B$3)*O165</f>
        <v/>
      </c>
      <c r="Q165" s="18">
        <f>IF(원데이터!K165&lt;&gt;"",원데이터!K165,(0.25+0.5*원데이터!L165/(24/PI()*N165))*O165)</f>
        <v/>
      </c>
      <c r="R165" s="18">
        <f>0.77*Q165</f>
        <v/>
      </c>
      <c r="S165" s="18">
        <f>0.000000004903*(((원데이터!B165+273.16)^4+(원데이터!C165+273.16)^4)/2)*(0.34-0.14*SQRT(G165))*(1.35*MIN(Q165/P165,1)-0.35)</f>
        <v/>
      </c>
      <c r="T165" s="18">
        <f>R165-S165</f>
        <v/>
      </c>
      <c r="U165" s="18">
        <f>(0.408*H165*T165+J165*(900/(C165+273))*K165*(F165-G165))/(H165+J165*(1+0.34*K165))</f>
        <v/>
      </c>
      <c r="V165" s="11">
        <f>IF(원데이터!A165-설정!$B$16&lt;0,"발아전",IF(원데이터!A165-설정!$B$16&lt;설정!$B$17,"초기",IF(원데이터!A165-설정!$B$16&lt;설정!$B$17+설정!$B$18,"발육",IF(원데이터!A165-설정!$B$16&lt;설정!$B$17+설정!$B$18+설정!$B$19,"중기",IF(원데이터!A165-설정!$B$16&lt;설정!$B$17+설정!$B$18+설정!$B$19+설정!$B$20,"후기","후기이후")))))</f>
        <v/>
      </c>
      <c r="W165" s="12">
        <f>IF(원데이터!A165-설정!$B$16&lt;0,0,IF(원데이터!A165-설정!$B$16&lt;설정!$B$17,설정!$B$33,IF(원데이터!A165-설정!$B$16&lt;설정!$B$17+설정!$B$18,설정!$B$33+(설정!$B$34-설정!$B$33)*(원데이터!A165-설정!$B$16-설정!$B$17+1)/설정!$B$18,IF(원데이터!A165-설정!$B$16&lt;설정!$B$17+설정!$B$18+설정!$B$19,설정!$B$34,IF(원데이터!A165-설정!$B$16&lt;설정!$B$17+설정!$B$18+설정!$B$19+설정!$B$20,설정!$B$34+(설정!$B$35-설정!$B$34)*(원데이터!A165-설정!$B$16-설정!$B$17-설정!$B$18-설정!$B$19+1)/설정!$B$20,0)))))</f>
        <v/>
      </c>
      <c r="X165" s="12">
        <f>0.108-0.0286*K165+0.0422*LN(설정!$B$5)+0.1434*LN(원데이터!E165)-0.000631*LN(설정!$B$5)^2*LN(원데이터!E165)</f>
        <v/>
      </c>
      <c r="Y165" s="17">
        <f>원데이터!M165</f>
        <v/>
      </c>
      <c r="Z165" s="18">
        <f>X165*Y165</f>
        <v/>
      </c>
      <c r="AA165" s="18">
        <f>U165*W165</f>
        <v/>
      </c>
      <c r="AB165" s="18">
        <f>Z165*W165</f>
        <v/>
      </c>
    </row>
    <row r="166">
      <c r="A166" s="15">
        <f>원데이터!A166</f>
        <v/>
      </c>
      <c r="B166" s="14">
        <f>원데이터!A166-DATE(YEAR(원데이터!A166),1,1)+1</f>
        <v/>
      </c>
      <c r="C166" s="17">
        <f>(원데이터!B166+원데이터!C166)/2</f>
        <v/>
      </c>
      <c r="D166" s="12">
        <f>0.6108*EXP(17.27*원데이터!B166/(원데이터!B166+237.3))</f>
        <v/>
      </c>
      <c r="E166" s="12">
        <f>0.6108*EXP(17.27*원데이터!C166/(원데이터!C166+237.3))</f>
        <v/>
      </c>
      <c r="F166" s="12">
        <f>(D166+E166)/2</f>
        <v/>
      </c>
      <c r="G166" s="12">
        <f>IF(원데이터!H166&lt;&gt;"",원데이터!H166/10,IF(원데이터!I166&lt;&gt;"",0.6108*EXP(17.27*원데이터!I166/(원데이터!I166+237.3)),원데이터!E166/100*F166))</f>
        <v/>
      </c>
      <c r="H166" s="21">
        <f>4098*(0.6108*EXP(17.27*C166/(C166+237.3)))/(C166+237.3)^2</f>
        <v/>
      </c>
      <c r="I166" s="17">
        <f>IF(원데이터!J166&lt;&gt;"",원데이터!J166/10,101.3*((293-0.0065*설정!$B$3)/293)^5.26)</f>
        <v/>
      </c>
      <c r="J166" s="21">
        <f>0.000665*I166</f>
        <v/>
      </c>
      <c r="K166" s="18">
        <f>원데이터!G166*4.87/LN(67.8*설정!$B$4-5.42)</f>
        <v/>
      </c>
      <c r="L166" s="12">
        <f>1+0.033*COS(2*PI()*B166/365)</f>
        <v/>
      </c>
      <c r="M166" s="21">
        <f>0.409*SIN(2*PI()*B166/365-1.39)</f>
        <v/>
      </c>
      <c r="N166" s="21">
        <f>ACOS(-TAN(RADIANS(설정!$B$2))*TAN(M166))</f>
        <v/>
      </c>
      <c r="O166" s="18">
        <f>(24*60/PI())*0.082*L166*(N166*SIN(RADIANS(설정!$B$2))*SIN(M166)+COS(RADIANS(설정!$B$2))*COS(M166)*SIN(N166))</f>
        <v/>
      </c>
      <c r="P166" s="18">
        <f>(0.75+0.00002*설정!$B$3)*O166</f>
        <v/>
      </c>
      <c r="Q166" s="18">
        <f>IF(원데이터!K166&lt;&gt;"",원데이터!K166,(0.25+0.5*원데이터!L166/(24/PI()*N166))*O166)</f>
        <v/>
      </c>
      <c r="R166" s="18">
        <f>0.77*Q166</f>
        <v/>
      </c>
      <c r="S166" s="18">
        <f>0.000000004903*(((원데이터!B166+273.16)^4+(원데이터!C166+273.16)^4)/2)*(0.34-0.14*SQRT(G166))*(1.35*MIN(Q166/P166,1)-0.35)</f>
        <v/>
      </c>
      <c r="T166" s="18">
        <f>R166-S166</f>
        <v/>
      </c>
      <c r="U166" s="18">
        <f>(0.408*H166*T166+J166*(900/(C166+273))*K166*(F166-G166))/(H166+J166*(1+0.34*K166))</f>
        <v/>
      </c>
      <c r="V166" s="11">
        <f>IF(원데이터!A166-설정!$B$16&lt;0,"발아전",IF(원데이터!A166-설정!$B$16&lt;설정!$B$17,"초기",IF(원데이터!A166-설정!$B$16&lt;설정!$B$17+설정!$B$18,"발육",IF(원데이터!A166-설정!$B$16&lt;설정!$B$17+설정!$B$18+설정!$B$19,"중기",IF(원데이터!A166-설정!$B$16&lt;설정!$B$17+설정!$B$18+설정!$B$19+설정!$B$20,"후기","후기이후")))))</f>
        <v/>
      </c>
      <c r="W166" s="12">
        <f>IF(원데이터!A166-설정!$B$16&lt;0,0,IF(원데이터!A166-설정!$B$16&lt;설정!$B$17,설정!$B$33,IF(원데이터!A166-설정!$B$16&lt;설정!$B$17+설정!$B$18,설정!$B$33+(설정!$B$34-설정!$B$33)*(원데이터!A166-설정!$B$16-설정!$B$17+1)/설정!$B$18,IF(원데이터!A166-설정!$B$16&lt;설정!$B$17+설정!$B$18+설정!$B$19,설정!$B$34,IF(원데이터!A166-설정!$B$16&lt;설정!$B$17+설정!$B$18+설정!$B$19+설정!$B$20,설정!$B$34+(설정!$B$35-설정!$B$34)*(원데이터!A166-설정!$B$16-설정!$B$17-설정!$B$18-설정!$B$19+1)/설정!$B$20,0)))))</f>
        <v/>
      </c>
      <c r="X166" s="12">
        <f>0.108-0.0286*K166+0.0422*LN(설정!$B$5)+0.1434*LN(원데이터!E166)-0.000631*LN(설정!$B$5)^2*LN(원데이터!E166)</f>
        <v/>
      </c>
      <c r="Y166" s="17">
        <f>원데이터!M166</f>
        <v/>
      </c>
      <c r="Z166" s="18">
        <f>X166*Y166</f>
        <v/>
      </c>
      <c r="AA166" s="18">
        <f>U166*W166</f>
        <v/>
      </c>
      <c r="AB166" s="18">
        <f>Z166*W166</f>
        <v/>
      </c>
    </row>
    <row r="167">
      <c r="A167" s="15">
        <f>원데이터!A167</f>
        <v/>
      </c>
      <c r="B167" s="14">
        <f>원데이터!A167-DATE(YEAR(원데이터!A167),1,1)+1</f>
        <v/>
      </c>
      <c r="C167" s="17">
        <f>(원데이터!B167+원데이터!C167)/2</f>
        <v/>
      </c>
      <c r="D167" s="12">
        <f>0.6108*EXP(17.27*원데이터!B167/(원데이터!B167+237.3))</f>
        <v/>
      </c>
      <c r="E167" s="12">
        <f>0.6108*EXP(17.27*원데이터!C167/(원데이터!C167+237.3))</f>
        <v/>
      </c>
      <c r="F167" s="12">
        <f>(D167+E167)/2</f>
        <v/>
      </c>
      <c r="G167" s="12">
        <f>IF(원데이터!H167&lt;&gt;"",원데이터!H167/10,IF(원데이터!I167&lt;&gt;"",0.6108*EXP(17.27*원데이터!I167/(원데이터!I167+237.3)),원데이터!E167/100*F167))</f>
        <v/>
      </c>
      <c r="H167" s="21">
        <f>4098*(0.6108*EXP(17.27*C167/(C167+237.3)))/(C167+237.3)^2</f>
        <v/>
      </c>
      <c r="I167" s="17">
        <f>IF(원데이터!J167&lt;&gt;"",원데이터!J167/10,101.3*((293-0.0065*설정!$B$3)/293)^5.26)</f>
        <v/>
      </c>
      <c r="J167" s="21">
        <f>0.000665*I167</f>
        <v/>
      </c>
      <c r="K167" s="18">
        <f>원데이터!G167*4.87/LN(67.8*설정!$B$4-5.42)</f>
        <v/>
      </c>
      <c r="L167" s="12">
        <f>1+0.033*COS(2*PI()*B167/365)</f>
        <v/>
      </c>
      <c r="M167" s="21">
        <f>0.409*SIN(2*PI()*B167/365-1.39)</f>
        <v/>
      </c>
      <c r="N167" s="21">
        <f>ACOS(-TAN(RADIANS(설정!$B$2))*TAN(M167))</f>
        <v/>
      </c>
      <c r="O167" s="18">
        <f>(24*60/PI())*0.082*L167*(N167*SIN(RADIANS(설정!$B$2))*SIN(M167)+COS(RADIANS(설정!$B$2))*COS(M167)*SIN(N167))</f>
        <v/>
      </c>
      <c r="P167" s="18">
        <f>(0.75+0.00002*설정!$B$3)*O167</f>
        <v/>
      </c>
      <c r="Q167" s="18">
        <f>IF(원데이터!K167&lt;&gt;"",원데이터!K167,(0.25+0.5*원데이터!L167/(24/PI()*N167))*O167)</f>
        <v/>
      </c>
      <c r="R167" s="18">
        <f>0.77*Q167</f>
        <v/>
      </c>
      <c r="S167" s="18">
        <f>0.000000004903*(((원데이터!B167+273.16)^4+(원데이터!C167+273.16)^4)/2)*(0.34-0.14*SQRT(G167))*(1.35*MIN(Q167/P167,1)-0.35)</f>
        <v/>
      </c>
      <c r="T167" s="18">
        <f>R167-S167</f>
        <v/>
      </c>
      <c r="U167" s="18">
        <f>(0.408*H167*T167+J167*(900/(C167+273))*K167*(F167-G167))/(H167+J167*(1+0.34*K167))</f>
        <v/>
      </c>
      <c r="V167" s="11">
        <f>IF(원데이터!A167-설정!$B$16&lt;0,"발아전",IF(원데이터!A167-설정!$B$16&lt;설정!$B$17,"초기",IF(원데이터!A167-설정!$B$16&lt;설정!$B$17+설정!$B$18,"발육",IF(원데이터!A167-설정!$B$16&lt;설정!$B$17+설정!$B$18+설정!$B$19,"중기",IF(원데이터!A167-설정!$B$16&lt;설정!$B$17+설정!$B$18+설정!$B$19+설정!$B$20,"후기","후기이후")))))</f>
        <v/>
      </c>
      <c r="W167" s="12">
        <f>IF(원데이터!A167-설정!$B$16&lt;0,0,IF(원데이터!A167-설정!$B$16&lt;설정!$B$17,설정!$B$33,IF(원데이터!A167-설정!$B$16&lt;설정!$B$17+설정!$B$18,설정!$B$33+(설정!$B$34-설정!$B$33)*(원데이터!A167-설정!$B$16-설정!$B$17+1)/설정!$B$18,IF(원데이터!A167-설정!$B$16&lt;설정!$B$17+설정!$B$18+설정!$B$19,설정!$B$34,IF(원데이터!A167-설정!$B$16&lt;설정!$B$17+설정!$B$18+설정!$B$19+설정!$B$20,설정!$B$34+(설정!$B$35-설정!$B$34)*(원데이터!A167-설정!$B$16-설정!$B$17-설정!$B$18-설정!$B$19+1)/설정!$B$20,0)))))</f>
        <v/>
      </c>
      <c r="X167" s="12">
        <f>0.108-0.0286*K167+0.0422*LN(설정!$B$5)+0.1434*LN(원데이터!E167)-0.000631*LN(설정!$B$5)^2*LN(원데이터!E167)</f>
        <v/>
      </c>
      <c r="Y167" s="17">
        <f>원데이터!M167</f>
        <v/>
      </c>
      <c r="Z167" s="18">
        <f>X167*Y167</f>
        <v/>
      </c>
      <c r="AA167" s="18">
        <f>U167*W167</f>
        <v/>
      </c>
      <c r="AB167" s="18">
        <f>Z167*W167</f>
        <v/>
      </c>
    </row>
    <row r="168">
      <c r="A168" s="15">
        <f>원데이터!A168</f>
        <v/>
      </c>
      <c r="B168" s="14">
        <f>원데이터!A168-DATE(YEAR(원데이터!A168),1,1)+1</f>
        <v/>
      </c>
      <c r="C168" s="17">
        <f>(원데이터!B168+원데이터!C168)/2</f>
        <v/>
      </c>
      <c r="D168" s="12">
        <f>0.6108*EXP(17.27*원데이터!B168/(원데이터!B168+237.3))</f>
        <v/>
      </c>
      <c r="E168" s="12">
        <f>0.6108*EXP(17.27*원데이터!C168/(원데이터!C168+237.3))</f>
        <v/>
      </c>
      <c r="F168" s="12">
        <f>(D168+E168)/2</f>
        <v/>
      </c>
      <c r="G168" s="12">
        <f>IF(원데이터!H168&lt;&gt;"",원데이터!H168/10,IF(원데이터!I168&lt;&gt;"",0.6108*EXP(17.27*원데이터!I168/(원데이터!I168+237.3)),원데이터!E168/100*F168))</f>
        <v/>
      </c>
      <c r="H168" s="21">
        <f>4098*(0.6108*EXP(17.27*C168/(C168+237.3)))/(C168+237.3)^2</f>
        <v/>
      </c>
      <c r="I168" s="17">
        <f>IF(원데이터!J168&lt;&gt;"",원데이터!J168/10,101.3*((293-0.0065*설정!$B$3)/293)^5.26)</f>
        <v/>
      </c>
      <c r="J168" s="21">
        <f>0.000665*I168</f>
        <v/>
      </c>
      <c r="K168" s="18">
        <f>원데이터!G168*4.87/LN(67.8*설정!$B$4-5.42)</f>
        <v/>
      </c>
      <c r="L168" s="12">
        <f>1+0.033*COS(2*PI()*B168/365)</f>
        <v/>
      </c>
      <c r="M168" s="21">
        <f>0.409*SIN(2*PI()*B168/365-1.39)</f>
        <v/>
      </c>
      <c r="N168" s="21">
        <f>ACOS(-TAN(RADIANS(설정!$B$2))*TAN(M168))</f>
        <v/>
      </c>
      <c r="O168" s="18">
        <f>(24*60/PI())*0.082*L168*(N168*SIN(RADIANS(설정!$B$2))*SIN(M168)+COS(RADIANS(설정!$B$2))*COS(M168)*SIN(N168))</f>
        <v/>
      </c>
      <c r="P168" s="18">
        <f>(0.75+0.00002*설정!$B$3)*O168</f>
        <v/>
      </c>
      <c r="Q168" s="18">
        <f>IF(원데이터!K168&lt;&gt;"",원데이터!K168,(0.25+0.5*원데이터!L168/(24/PI()*N168))*O168)</f>
        <v/>
      </c>
      <c r="R168" s="18">
        <f>0.77*Q168</f>
        <v/>
      </c>
      <c r="S168" s="18">
        <f>0.000000004903*(((원데이터!B168+273.16)^4+(원데이터!C168+273.16)^4)/2)*(0.34-0.14*SQRT(G168))*(1.35*MIN(Q168/P168,1)-0.35)</f>
        <v/>
      </c>
      <c r="T168" s="18">
        <f>R168-S168</f>
        <v/>
      </c>
      <c r="U168" s="18">
        <f>(0.408*H168*T168+J168*(900/(C168+273))*K168*(F168-G168))/(H168+J168*(1+0.34*K168))</f>
        <v/>
      </c>
      <c r="V168" s="11">
        <f>IF(원데이터!A168-설정!$B$16&lt;0,"발아전",IF(원데이터!A168-설정!$B$16&lt;설정!$B$17,"초기",IF(원데이터!A168-설정!$B$16&lt;설정!$B$17+설정!$B$18,"발육",IF(원데이터!A168-설정!$B$16&lt;설정!$B$17+설정!$B$18+설정!$B$19,"중기",IF(원데이터!A168-설정!$B$16&lt;설정!$B$17+설정!$B$18+설정!$B$19+설정!$B$20,"후기","후기이후")))))</f>
        <v/>
      </c>
      <c r="W168" s="12">
        <f>IF(원데이터!A168-설정!$B$16&lt;0,0,IF(원데이터!A168-설정!$B$16&lt;설정!$B$17,설정!$B$33,IF(원데이터!A168-설정!$B$16&lt;설정!$B$17+설정!$B$18,설정!$B$33+(설정!$B$34-설정!$B$33)*(원데이터!A168-설정!$B$16-설정!$B$17+1)/설정!$B$18,IF(원데이터!A168-설정!$B$16&lt;설정!$B$17+설정!$B$18+설정!$B$19,설정!$B$34,IF(원데이터!A168-설정!$B$16&lt;설정!$B$17+설정!$B$18+설정!$B$19+설정!$B$20,설정!$B$34+(설정!$B$35-설정!$B$34)*(원데이터!A168-설정!$B$16-설정!$B$17-설정!$B$18-설정!$B$19+1)/설정!$B$20,0)))))</f>
        <v/>
      </c>
      <c r="X168" s="12">
        <f>0.108-0.0286*K168+0.0422*LN(설정!$B$5)+0.1434*LN(원데이터!E168)-0.000631*LN(설정!$B$5)^2*LN(원데이터!E168)</f>
        <v/>
      </c>
      <c r="Y168" s="17">
        <f>원데이터!M168</f>
        <v/>
      </c>
      <c r="Z168" s="18">
        <f>X168*Y168</f>
        <v/>
      </c>
      <c r="AA168" s="18">
        <f>U168*W168</f>
        <v/>
      </c>
      <c r="AB168" s="18">
        <f>Z168*W168</f>
        <v/>
      </c>
    </row>
    <row r="169">
      <c r="A169" s="15">
        <f>원데이터!A169</f>
        <v/>
      </c>
      <c r="B169" s="14">
        <f>원데이터!A169-DATE(YEAR(원데이터!A169),1,1)+1</f>
        <v/>
      </c>
      <c r="C169" s="17">
        <f>(원데이터!B169+원데이터!C169)/2</f>
        <v/>
      </c>
      <c r="D169" s="12">
        <f>0.6108*EXP(17.27*원데이터!B169/(원데이터!B169+237.3))</f>
        <v/>
      </c>
      <c r="E169" s="12">
        <f>0.6108*EXP(17.27*원데이터!C169/(원데이터!C169+237.3))</f>
        <v/>
      </c>
      <c r="F169" s="12">
        <f>(D169+E169)/2</f>
        <v/>
      </c>
      <c r="G169" s="12">
        <f>IF(원데이터!H169&lt;&gt;"",원데이터!H169/10,IF(원데이터!I169&lt;&gt;"",0.6108*EXP(17.27*원데이터!I169/(원데이터!I169+237.3)),원데이터!E169/100*F169))</f>
        <v/>
      </c>
      <c r="H169" s="21">
        <f>4098*(0.6108*EXP(17.27*C169/(C169+237.3)))/(C169+237.3)^2</f>
        <v/>
      </c>
      <c r="I169" s="17">
        <f>IF(원데이터!J169&lt;&gt;"",원데이터!J169/10,101.3*((293-0.0065*설정!$B$3)/293)^5.26)</f>
        <v/>
      </c>
      <c r="J169" s="21">
        <f>0.000665*I169</f>
        <v/>
      </c>
      <c r="K169" s="18">
        <f>원데이터!G169*4.87/LN(67.8*설정!$B$4-5.42)</f>
        <v/>
      </c>
      <c r="L169" s="12">
        <f>1+0.033*COS(2*PI()*B169/365)</f>
        <v/>
      </c>
      <c r="M169" s="21">
        <f>0.409*SIN(2*PI()*B169/365-1.39)</f>
        <v/>
      </c>
      <c r="N169" s="21">
        <f>ACOS(-TAN(RADIANS(설정!$B$2))*TAN(M169))</f>
        <v/>
      </c>
      <c r="O169" s="18">
        <f>(24*60/PI())*0.082*L169*(N169*SIN(RADIANS(설정!$B$2))*SIN(M169)+COS(RADIANS(설정!$B$2))*COS(M169)*SIN(N169))</f>
        <v/>
      </c>
      <c r="P169" s="18">
        <f>(0.75+0.00002*설정!$B$3)*O169</f>
        <v/>
      </c>
      <c r="Q169" s="18">
        <f>IF(원데이터!K169&lt;&gt;"",원데이터!K169,(0.25+0.5*원데이터!L169/(24/PI()*N169))*O169)</f>
        <v/>
      </c>
      <c r="R169" s="18">
        <f>0.77*Q169</f>
        <v/>
      </c>
      <c r="S169" s="18">
        <f>0.000000004903*(((원데이터!B169+273.16)^4+(원데이터!C169+273.16)^4)/2)*(0.34-0.14*SQRT(G169))*(1.35*MIN(Q169/P169,1)-0.35)</f>
        <v/>
      </c>
      <c r="T169" s="18">
        <f>R169-S169</f>
        <v/>
      </c>
      <c r="U169" s="18">
        <f>(0.408*H169*T169+J169*(900/(C169+273))*K169*(F169-G169))/(H169+J169*(1+0.34*K169))</f>
        <v/>
      </c>
      <c r="V169" s="11">
        <f>IF(원데이터!A169-설정!$B$16&lt;0,"발아전",IF(원데이터!A169-설정!$B$16&lt;설정!$B$17,"초기",IF(원데이터!A169-설정!$B$16&lt;설정!$B$17+설정!$B$18,"발육",IF(원데이터!A169-설정!$B$16&lt;설정!$B$17+설정!$B$18+설정!$B$19,"중기",IF(원데이터!A169-설정!$B$16&lt;설정!$B$17+설정!$B$18+설정!$B$19+설정!$B$20,"후기","후기이후")))))</f>
        <v/>
      </c>
      <c r="W169" s="12">
        <f>IF(원데이터!A169-설정!$B$16&lt;0,0,IF(원데이터!A169-설정!$B$16&lt;설정!$B$17,설정!$B$33,IF(원데이터!A169-설정!$B$16&lt;설정!$B$17+설정!$B$18,설정!$B$33+(설정!$B$34-설정!$B$33)*(원데이터!A169-설정!$B$16-설정!$B$17+1)/설정!$B$18,IF(원데이터!A169-설정!$B$16&lt;설정!$B$17+설정!$B$18+설정!$B$19,설정!$B$34,IF(원데이터!A169-설정!$B$16&lt;설정!$B$17+설정!$B$18+설정!$B$19+설정!$B$20,설정!$B$34+(설정!$B$35-설정!$B$34)*(원데이터!A169-설정!$B$16-설정!$B$17-설정!$B$18-설정!$B$19+1)/설정!$B$20,0)))))</f>
        <v/>
      </c>
      <c r="X169" s="12">
        <f>0.108-0.0286*K169+0.0422*LN(설정!$B$5)+0.1434*LN(원데이터!E169)-0.000631*LN(설정!$B$5)^2*LN(원데이터!E169)</f>
        <v/>
      </c>
      <c r="Y169" s="17">
        <f>원데이터!M169</f>
        <v/>
      </c>
      <c r="Z169" s="18">
        <f>X169*Y169</f>
        <v/>
      </c>
      <c r="AA169" s="18">
        <f>U169*W169</f>
        <v/>
      </c>
      <c r="AB169" s="18">
        <f>Z169*W169</f>
        <v/>
      </c>
    </row>
    <row r="170">
      <c r="A170" s="15">
        <f>원데이터!A170</f>
        <v/>
      </c>
      <c r="B170" s="14">
        <f>원데이터!A170-DATE(YEAR(원데이터!A170),1,1)+1</f>
        <v/>
      </c>
      <c r="C170" s="17">
        <f>(원데이터!B170+원데이터!C170)/2</f>
        <v/>
      </c>
      <c r="D170" s="12">
        <f>0.6108*EXP(17.27*원데이터!B170/(원데이터!B170+237.3))</f>
        <v/>
      </c>
      <c r="E170" s="12">
        <f>0.6108*EXP(17.27*원데이터!C170/(원데이터!C170+237.3))</f>
        <v/>
      </c>
      <c r="F170" s="12">
        <f>(D170+E170)/2</f>
        <v/>
      </c>
      <c r="G170" s="12">
        <f>IF(원데이터!H170&lt;&gt;"",원데이터!H170/10,IF(원데이터!I170&lt;&gt;"",0.6108*EXP(17.27*원데이터!I170/(원데이터!I170+237.3)),원데이터!E170/100*F170))</f>
        <v/>
      </c>
      <c r="H170" s="21">
        <f>4098*(0.6108*EXP(17.27*C170/(C170+237.3)))/(C170+237.3)^2</f>
        <v/>
      </c>
      <c r="I170" s="17">
        <f>IF(원데이터!J170&lt;&gt;"",원데이터!J170/10,101.3*((293-0.0065*설정!$B$3)/293)^5.26)</f>
        <v/>
      </c>
      <c r="J170" s="21">
        <f>0.000665*I170</f>
        <v/>
      </c>
      <c r="K170" s="18">
        <f>원데이터!G170*4.87/LN(67.8*설정!$B$4-5.42)</f>
        <v/>
      </c>
      <c r="L170" s="12">
        <f>1+0.033*COS(2*PI()*B170/365)</f>
        <v/>
      </c>
      <c r="M170" s="21">
        <f>0.409*SIN(2*PI()*B170/365-1.39)</f>
        <v/>
      </c>
      <c r="N170" s="21">
        <f>ACOS(-TAN(RADIANS(설정!$B$2))*TAN(M170))</f>
        <v/>
      </c>
      <c r="O170" s="18">
        <f>(24*60/PI())*0.082*L170*(N170*SIN(RADIANS(설정!$B$2))*SIN(M170)+COS(RADIANS(설정!$B$2))*COS(M170)*SIN(N170))</f>
        <v/>
      </c>
      <c r="P170" s="18">
        <f>(0.75+0.00002*설정!$B$3)*O170</f>
        <v/>
      </c>
      <c r="Q170" s="18">
        <f>IF(원데이터!K170&lt;&gt;"",원데이터!K170,(0.25+0.5*원데이터!L170/(24/PI()*N170))*O170)</f>
        <v/>
      </c>
      <c r="R170" s="18">
        <f>0.77*Q170</f>
        <v/>
      </c>
      <c r="S170" s="18">
        <f>0.000000004903*(((원데이터!B170+273.16)^4+(원데이터!C170+273.16)^4)/2)*(0.34-0.14*SQRT(G170))*(1.35*MIN(Q170/P170,1)-0.35)</f>
        <v/>
      </c>
      <c r="T170" s="18">
        <f>R170-S170</f>
        <v/>
      </c>
      <c r="U170" s="18">
        <f>(0.408*H170*T170+J170*(900/(C170+273))*K170*(F170-G170))/(H170+J170*(1+0.34*K170))</f>
        <v/>
      </c>
      <c r="V170" s="11">
        <f>IF(원데이터!A170-설정!$B$16&lt;0,"발아전",IF(원데이터!A170-설정!$B$16&lt;설정!$B$17,"초기",IF(원데이터!A170-설정!$B$16&lt;설정!$B$17+설정!$B$18,"발육",IF(원데이터!A170-설정!$B$16&lt;설정!$B$17+설정!$B$18+설정!$B$19,"중기",IF(원데이터!A170-설정!$B$16&lt;설정!$B$17+설정!$B$18+설정!$B$19+설정!$B$20,"후기","후기이후")))))</f>
        <v/>
      </c>
      <c r="W170" s="12">
        <f>IF(원데이터!A170-설정!$B$16&lt;0,0,IF(원데이터!A170-설정!$B$16&lt;설정!$B$17,설정!$B$33,IF(원데이터!A170-설정!$B$16&lt;설정!$B$17+설정!$B$18,설정!$B$33+(설정!$B$34-설정!$B$33)*(원데이터!A170-설정!$B$16-설정!$B$17+1)/설정!$B$18,IF(원데이터!A170-설정!$B$16&lt;설정!$B$17+설정!$B$18+설정!$B$19,설정!$B$34,IF(원데이터!A170-설정!$B$16&lt;설정!$B$17+설정!$B$18+설정!$B$19+설정!$B$20,설정!$B$34+(설정!$B$35-설정!$B$34)*(원데이터!A170-설정!$B$16-설정!$B$17-설정!$B$18-설정!$B$19+1)/설정!$B$20,0)))))</f>
        <v/>
      </c>
      <c r="X170" s="12">
        <f>0.108-0.0286*K170+0.0422*LN(설정!$B$5)+0.1434*LN(원데이터!E170)-0.000631*LN(설정!$B$5)^2*LN(원데이터!E170)</f>
        <v/>
      </c>
      <c r="Y170" s="17">
        <f>원데이터!M170</f>
        <v/>
      </c>
      <c r="Z170" s="18">
        <f>X170*Y170</f>
        <v/>
      </c>
      <c r="AA170" s="18">
        <f>U170*W170</f>
        <v/>
      </c>
      <c r="AB170" s="18">
        <f>Z170*W170</f>
        <v/>
      </c>
    </row>
    <row r="171">
      <c r="A171" s="15">
        <f>원데이터!A171</f>
        <v/>
      </c>
      <c r="B171" s="14">
        <f>원데이터!A171-DATE(YEAR(원데이터!A171),1,1)+1</f>
        <v/>
      </c>
      <c r="C171" s="17">
        <f>(원데이터!B171+원데이터!C171)/2</f>
        <v/>
      </c>
      <c r="D171" s="12">
        <f>0.6108*EXP(17.27*원데이터!B171/(원데이터!B171+237.3))</f>
        <v/>
      </c>
      <c r="E171" s="12">
        <f>0.6108*EXP(17.27*원데이터!C171/(원데이터!C171+237.3))</f>
        <v/>
      </c>
      <c r="F171" s="12">
        <f>(D171+E171)/2</f>
        <v/>
      </c>
      <c r="G171" s="12">
        <f>IF(원데이터!H171&lt;&gt;"",원데이터!H171/10,IF(원데이터!I171&lt;&gt;"",0.6108*EXP(17.27*원데이터!I171/(원데이터!I171+237.3)),원데이터!E171/100*F171))</f>
        <v/>
      </c>
      <c r="H171" s="21">
        <f>4098*(0.6108*EXP(17.27*C171/(C171+237.3)))/(C171+237.3)^2</f>
        <v/>
      </c>
      <c r="I171" s="17">
        <f>IF(원데이터!J171&lt;&gt;"",원데이터!J171/10,101.3*((293-0.0065*설정!$B$3)/293)^5.26)</f>
        <v/>
      </c>
      <c r="J171" s="21">
        <f>0.000665*I171</f>
        <v/>
      </c>
      <c r="K171" s="18">
        <f>원데이터!G171*4.87/LN(67.8*설정!$B$4-5.42)</f>
        <v/>
      </c>
      <c r="L171" s="12">
        <f>1+0.033*COS(2*PI()*B171/365)</f>
        <v/>
      </c>
      <c r="M171" s="21">
        <f>0.409*SIN(2*PI()*B171/365-1.39)</f>
        <v/>
      </c>
      <c r="N171" s="21">
        <f>ACOS(-TAN(RADIANS(설정!$B$2))*TAN(M171))</f>
        <v/>
      </c>
      <c r="O171" s="18">
        <f>(24*60/PI())*0.082*L171*(N171*SIN(RADIANS(설정!$B$2))*SIN(M171)+COS(RADIANS(설정!$B$2))*COS(M171)*SIN(N171))</f>
        <v/>
      </c>
      <c r="P171" s="18">
        <f>(0.75+0.00002*설정!$B$3)*O171</f>
        <v/>
      </c>
      <c r="Q171" s="18">
        <f>IF(원데이터!K171&lt;&gt;"",원데이터!K171,(0.25+0.5*원데이터!L171/(24/PI()*N171))*O171)</f>
        <v/>
      </c>
      <c r="R171" s="18">
        <f>0.77*Q171</f>
        <v/>
      </c>
      <c r="S171" s="18">
        <f>0.000000004903*(((원데이터!B171+273.16)^4+(원데이터!C171+273.16)^4)/2)*(0.34-0.14*SQRT(G171))*(1.35*MIN(Q171/P171,1)-0.35)</f>
        <v/>
      </c>
      <c r="T171" s="18">
        <f>R171-S171</f>
        <v/>
      </c>
      <c r="U171" s="18">
        <f>(0.408*H171*T171+J171*(900/(C171+273))*K171*(F171-G171))/(H171+J171*(1+0.34*K171))</f>
        <v/>
      </c>
      <c r="V171" s="11">
        <f>IF(원데이터!A171-설정!$B$16&lt;0,"발아전",IF(원데이터!A171-설정!$B$16&lt;설정!$B$17,"초기",IF(원데이터!A171-설정!$B$16&lt;설정!$B$17+설정!$B$18,"발육",IF(원데이터!A171-설정!$B$16&lt;설정!$B$17+설정!$B$18+설정!$B$19,"중기",IF(원데이터!A171-설정!$B$16&lt;설정!$B$17+설정!$B$18+설정!$B$19+설정!$B$20,"후기","후기이후")))))</f>
        <v/>
      </c>
      <c r="W171" s="12">
        <f>IF(원데이터!A171-설정!$B$16&lt;0,0,IF(원데이터!A171-설정!$B$16&lt;설정!$B$17,설정!$B$33,IF(원데이터!A171-설정!$B$16&lt;설정!$B$17+설정!$B$18,설정!$B$33+(설정!$B$34-설정!$B$33)*(원데이터!A171-설정!$B$16-설정!$B$17+1)/설정!$B$18,IF(원데이터!A171-설정!$B$16&lt;설정!$B$17+설정!$B$18+설정!$B$19,설정!$B$34,IF(원데이터!A171-설정!$B$16&lt;설정!$B$17+설정!$B$18+설정!$B$19+설정!$B$20,설정!$B$34+(설정!$B$35-설정!$B$34)*(원데이터!A171-설정!$B$16-설정!$B$17-설정!$B$18-설정!$B$19+1)/설정!$B$20,0)))))</f>
        <v/>
      </c>
      <c r="X171" s="12">
        <f>0.108-0.0286*K171+0.0422*LN(설정!$B$5)+0.1434*LN(원데이터!E171)-0.000631*LN(설정!$B$5)^2*LN(원데이터!E171)</f>
        <v/>
      </c>
      <c r="Y171" s="17">
        <f>원데이터!M171</f>
        <v/>
      </c>
      <c r="Z171" s="18">
        <f>X171*Y171</f>
        <v/>
      </c>
      <c r="AA171" s="18">
        <f>U171*W171</f>
        <v/>
      </c>
      <c r="AB171" s="18">
        <f>Z171*W171</f>
        <v/>
      </c>
    </row>
    <row r="172">
      <c r="A172" s="15">
        <f>원데이터!A172</f>
        <v/>
      </c>
      <c r="B172" s="14">
        <f>원데이터!A172-DATE(YEAR(원데이터!A172),1,1)+1</f>
        <v/>
      </c>
      <c r="C172" s="17">
        <f>(원데이터!B172+원데이터!C172)/2</f>
        <v/>
      </c>
      <c r="D172" s="12">
        <f>0.6108*EXP(17.27*원데이터!B172/(원데이터!B172+237.3))</f>
        <v/>
      </c>
      <c r="E172" s="12">
        <f>0.6108*EXP(17.27*원데이터!C172/(원데이터!C172+237.3))</f>
        <v/>
      </c>
      <c r="F172" s="12">
        <f>(D172+E172)/2</f>
        <v/>
      </c>
      <c r="G172" s="12">
        <f>IF(원데이터!H172&lt;&gt;"",원데이터!H172/10,IF(원데이터!I172&lt;&gt;"",0.6108*EXP(17.27*원데이터!I172/(원데이터!I172+237.3)),원데이터!E172/100*F172))</f>
        <v/>
      </c>
      <c r="H172" s="21">
        <f>4098*(0.6108*EXP(17.27*C172/(C172+237.3)))/(C172+237.3)^2</f>
        <v/>
      </c>
      <c r="I172" s="17">
        <f>IF(원데이터!J172&lt;&gt;"",원데이터!J172/10,101.3*((293-0.0065*설정!$B$3)/293)^5.26)</f>
        <v/>
      </c>
      <c r="J172" s="21">
        <f>0.000665*I172</f>
        <v/>
      </c>
      <c r="K172" s="18">
        <f>원데이터!G172*4.87/LN(67.8*설정!$B$4-5.42)</f>
        <v/>
      </c>
      <c r="L172" s="12">
        <f>1+0.033*COS(2*PI()*B172/365)</f>
        <v/>
      </c>
      <c r="M172" s="21">
        <f>0.409*SIN(2*PI()*B172/365-1.39)</f>
        <v/>
      </c>
      <c r="N172" s="21">
        <f>ACOS(-TAN(RADIANS(설정!$B$2))*TAN(M172))</f>
        <v/>
      </c>
      <c r="O172" s="18">
        <f>(24*60/PI())*0.082*L172*(N172*SIN(RADIANS(설정!$B$2))*SIN(M172)+COS(RADIANS(설정!$B$2))*COS(M172)*SIN(N172))</f>
        <v/>
      </c>
      <c r="P172" s="18">
        <f>(0.75+0.00002*설정!$B$3)*O172</f>
        <v/>
      </c>
      <c r="Q172" s="18">
        <f>IF(원데이터!K172&lt;&gt;"",원데이터!K172,(0.25+0.5*원데이터!L172/(24/PI()*N172))*O172)</f>
        <v/>
      </c>
      <c r="R172" s="18">
        <f>0.77*Q172</f>
        <v/>
      </c>
      <c r="S172" s="18">
        <f>0.000000004903*(((원데이터!B172+273.16)^4+(원데이터!C172+273.16)^4)/2)*(0.34-0.14*SQRT(G172))*(1.35*MIN(Q172/P172,1)-0.35)</f>
        <v/>
      </c>
      <c r="T172" s="18">
        <f>R172-S172</f>
        <v/>
      </c>
      <c r="U172" s="18">
        <f>(0.408*H172*T172+J172*(900/(C172+273))*K172*(F172-G172))/(H172+J172*(1+0.34*K172))</f>
        <v/>
      </c>
      <c r="V172" s="11">
        <f>IF(원데이터!A172-설정!$B$16&lt;0,"발아전",IF(원데이터!A172-설정!$B$16&lt;설정!$B$17,"초기",IF(원데이터!A172-설정!$B$16&lt;설정!$B$17+설정!$B$18,"발육",IF(원데이터!A172-설정!$B$16&lt;설정!$B$17+설정!$B$18+설정!$B$19,"중기",IF(원데이터!A172-설정!$B$16&lt;설정!$B$17+설정!$B$18+설정!$B$19+설정!$B$20,"후기","후기이후")))))</f>
        <v/>
      </c>
      <c r="W172" s="12">
        <f>IF(원데이터!A172-설정!$B$16&lt;0,0,IF(원데이터!A172-설정!$B$16&lt;설정!$B$17,설정!$B$33,IF(원데이터!A172-설정!$B$16&lt;설정!$B$17+설정!$B$18,설정!$B$33+(설정!$B$34-설정!$B$33)*(원데이터!A172-설정!$B$16-설정!$B$17+1)/설정!$B$18,IF(원데이터!A172-설정!$B$16&lt;설정!$B$17+설정!$B$18+설정!$B$19,설정!$B$34,IF(원데이터!A172-설정!$B$16&lt;설정!$B$17+설정!$B$18+설정!$B$19+설정!$B$20,설정!$B$34+(설정!$B$35-설정!$B$34)*(원데이터!A172-설정!$B$16-설정!$B$17-설정!$B$18-설정!$B$19+1)/설정!$B$20,0)))))</f>
        <v/>
      </c>
      <c r="X172" s="12">
        <f>0.108-0.0286*K172+0.0422*LN(설정!$B$5)+0.1434*LN(원데이터!E172)-0.000631*LN(설정!$B$5)^2*LN(원데이터!E172)</f>
        <v/>
      </c>
      <c r="Y172" s="17">
        <f>원데이터!M172</f>
        <v/>
      </c>
      <c r="Z172" s="18">
        <f>X172*Y172</f>
        <v/>
      </c>
      <c r="AA172" s="18">
        <f>U172*W172</f>
        <v/>
      </c>
      <c r="AB172" s="18">
        <f>Z172*W172</f>
        <v/>
      </c>
    </row>
    <row r="173">
      <c r="A173" s="15">
        <f>원데이터!A173</f>
        <v/>
      </c>
      <c r="B173" s="14">
        <f>원데이터!A173-DATE(YEAR(원데이터!A173),1,1)+1</f>
        <v/>
      </c>
      <c r="C173" s="17">
        <f>(원데이터!B173+원데이터!C173)/2</f>
        <v/>
      </c>
      <c r="D173" s="12">
        <f>0.6108*EXP(17.27*원데이터!B173/(원데이터!B173+237.3))</f>
        <v/>
      </c>
      <c r="E173" s="12">
        <f>0.6108*EXP(17.27*원데이터!C173/(원데이터!C173+237.3))</f>
        <v/>
      </c>
      <c r="F173" s="12">
        <f>(D173+E173)/2</f>
        <v/>
      </c>
      <c r="G173" s="12">
        <f>IF(원데이터!H173&lt;&gt;"",원데이터!H173/10,IF(원데이터!I173&lt;&gt;"",0.6108*EXP(17.27*원데이터!I173/(원데이터!I173+237.3)),원데이터!E173/100*F173))</f>
        <v/>
      </c>
      <c r="H173" s="21">
        <f>4098*(0.6108*EXP(17.27*C173/(C173+237.3)))/(C173+237.3)^2</f>
        <v/>
      </c>
      <c r="I173" s="17">
        <f>IF(원데이터!J173&lt;&gt;"",원데이터!J173/10,101.3*((293-0.0065*설정!$B$3)/293)^5.26)</f>
        <v/>
      </c>
      <c r="J173" s="21">
        <f>0.000665*I173</f>
        <v/>
      </c>
      <c r="K173" s="18">
        <f>원데이터!G173*4.87/LN(67.8*설정!$B$4-5.42)</f>
        <v/>
      </c>
      <c r="L173" s="12">
        <f>1+0.033*COS(2*PI()*B173/365)</f>
        <v/>
      </c>
      <c r="M173" s="21">
        <f>0.409*SIN(2*PI()*B173/365-1.39)</f>
        <v/>
      </c>
      <c r="N173" s="21">
        <f>ACOS(-TAN(RADIANS(설정!$B$2))*TAN(M173))</f>
        <v/>
      </c>
      <c r="O173" s="18">
        <f>(24*60/PI())*0.082*L173*(N173*SIN(RADIANS(설정!$B$2))*SIN(M173)+COS(RADIANS(설정!$B$2))*COS(M173)*SIN(N173))</f>
        <v/>
      </c>
      <c r="P173" s="18">
        <f>(0.75+0.00002*설정!$B$3)*O173</f>
        <v/>
      </c>
      <c r="Q173" s="18">
        <f>IF(원데이터!K173&lt;&gt;"",원데이터!K173,(0.25+0.5*원데이터!L173/(24/PI()*N173))*O173)</f>
        <v/>
      </c>
      <c r="R173" s="18">
        <f>0.77*Q173</f>
        <v/>
      </c>
      <c r="S173" s="18">
        <f>0.000000004903*(((원데이터!B173+273.16)^4+(원데이터!C173+273.16)^4)/2)*(0.34-0.14*SQRT(G173))*(1.35*MIN(Q173/P173,1)-0.35)</f>
        <v/>
      </c>
      <c r="T173" s="18">
        <f>R173-S173</f>
        <v/>
      </c>
      <c r="U173" s="18">
        <f>(0.408*H173*T173+J173*(900/(C173+273))*K173*(F173-G173))/(H173+J173*(1+0.34*K173))</f>
        <v/>
      </c>
      <c r="V173" s="11">
        <f>IF(원데이터!A173-설정!$B$16&lt;0,"발아전",IF(원데이터!A173-설정!$B$16&lt;설정!$B$17,"초기",IF(원데이터!A173-설정!$B$16&lt;설정!$B$17+설정!$B$18,"발육",IF(원데이터!A173-설정!$B$16&lt;설정!$B$17+설정!$B$18+설정!$B$19,"중기",IF(원데이터!A173-설정!$B$16&lt;설정!$B$17+설정!$B$18+설정!$B$19+설정!$B$20,"후기","후기이후")))))</f>
        <v/>
      </c>
      <c r="W173" s="12">
        <f>IF(원데이터!A173-설정!$B$16&lt;0,0,IF(원데이터!A173-설정!$B$16&lt;설정!$B$17,설정!$B$33,IF(원데이터!A173-설정!$B$16&lt;설정!$B$17+설정!$B$18,설정!$B$33+(설정!$B$34-설정!$B$33)*(원데이터!A173-설정!$B$16-설정!$B$17+1)/설정!$B$18,IF(원데이터!A173-설정!$B$16&lt;설정!$B$17+설정!$B$18+설정!$B$19,설정!$B$34,IF(원데이터!A173-설정!$B$16&lt;설정!$B$17+설정!$B$18+설정!$B$19+설정!$B$20,설정!$B$34+(설정!$B$35-설정!$B$34)*(원데이터!A173-설정!$B$16-설정!$B$17-설정!$B$18-설정!$B$19+1)/설정!$B$20,0)))))</f>
        <v/>
      </c>
      <c r="X173" s="12">
        <f>0.108-0.0286*K173+0.0422*LN(설정!$B$5)+0.1434*LN(원데이터!E173)-0.000631*LN(설정!$B$5)^2*LN(원데이터!E173)</f>
        <v/>
      </c>
      <c r="Y173" s="17">
        <f>원데이터!M173</f>
        <v/>
      </c>
      <c r="Z173" s="18">
        <f>X173*Y173</f>
        <v/>
      </c>
      <c r="AA173" s="18">
        <f>U173*W173</f>
        <v/>
      </c>
      <c r="AB173" s="18">
        <f>Z173*W173</f>
        <v/>
      </c>
    </row>
    <row r="174">
      <c r="A174" s="15">
        <f>원데이터!A174</f>
        <v/>
      </c>
      <c r="B174" s="14">
        <f>원데이터!A174-DATE(YEAR(원데이터!A174),1,1)+1</f>
        <v/>
      </c>
      <c r="C174" s="17">
        <f>(원데이터!B174+원데이터!C174)/2</f>
        <v/>
      </c>
      <c r="D174" s="12">
        <f>0.6108*EXP(17.27*원데이터!B174/(원데이터!B174+237.3))</f>
        <v/>
      </c>
      <c r="E174" s="12">
        <f>0.6108*EXP(17.27*원데이터!C174/(원데이터!C174+237.3))</f>
        <v/>
      </c>
      <c r="F174" s="12">
        <f>(D174+E174)/2</f>
        <v/>
      </c>
      <c r="G174" s="12">
        <f>IF(원데이터!H174&lt;&gt;"",원데이터!H174/10,IF(원데이터!I174&lt;&gt;"",0.6108*EXP(17.27*원데이터!I174/(원데이터!I174+237.3)),원데이터!E174/100*F174))</f>
        <v/>
      </c>
      <c r="H174" s="21">
        <f>4098*(0.6108*EXP(17.27*C174/(C174+237.3)))/(C174+237.3)^2</f>
        <v/>
      </c>
      <c r="I174" s="17">
        <f>IF(원데이터!J174&lt;&gt;"",원데이터!J174/10,101.3*((293-0.0065*설정!$B$3)/293)^5.26)</f>
        <v/>
      </c>
      <c r="J174" s="21">
        <f>0.000665*I174</f>
        <v/>
      </c>
      <c r="K174" s="18">
        <f>원데이터!G174*4.87/LN(67.8*설정!$B$4-5.42)</f>
        <v/>
      </c>
      <c r="L174" s="12">
        <f>1+0.033*COS(2*PI()*B174/365)</f>
        <v/>
      </c>
      <c r="M174" s="21">
        <f>0.409*SIN(2*PI()*B174/365-1.39)</f>
        <v/>
      </c>
      <c r="N174" s="21">
        <f>ACOS(-TAN(RADIANS(설정!$B$2))*TAN(M174))</f>
        <v/>
      </c>
      <c r="O174" s="18">
        <f>(24*60/PI())*0.082*L174*(N174*SIN(RADIANS(설정!$B$2))*SIN(M174)+COS(RADIANS(설정!$B$2))*COS(M174)*SIN(N174))</f>
        <v/>
      </c>
      <c r="P174" s="18">
        <f>(0.75+0.00002*설정!$B$3)*O174</f>
        <v/>
      </c>
      <c r="Q174" s="18">
        <f>IF(원데이터!K174&lt;&gt;"",원데이터!K174,(0.25+0.5*원데이터!L174/(24/PI()*N174))*O174)</f>
        <v/>
      </c>
      <c r="R174" s="18">
        <f>0.77*Q174</f>
        <v/>
      </c>
      <c r="S174" s="18">
        <f>0.000000004903*(((원데이터!B174+273.16)^4+(원데이터!C174+273.16)^4)/2)*(0.34-0.14*SQRT(G174))*(1.35*MIN(Q174/P174,1)-0.35)</f>
        <v/>
      </c>
      <c r="T174" s="18">
        <f>R174-S174</f>
        <v/>
      </c>
      <c r="U174" s="18">
        <f>(0.408*H174*T174+J174*(900/(C174+273))*K174*(F174-G174))/(H174+J174*(1+0.34*K174))</f>
        <v/>
      </c>
      <c r="V174" s="11">
        <f>IF(원데이터!A174-설정!$B$16&lt;0,"발아전",IF(원데이터!A174-설정!$B$16&lt;설정!$B$17,"초기",IF(원데이터!A174-설정!$B$16&lt;설정!$B$17+설정!$B$18,"발육",IF(원데이터!A174-설정!$B$16&lt;설정!$B$17+설정!$B$18+설정!$B$19,"중기",IF(원데이터!A174-설정!$B$16&lt;설정!$B$17+설정!$B$18+설정!$B$19+설정!$B$20,"후기","후기이후")))))</f>
        <v/>
      </c>
      <c r="W174" s="12">
        <f>IF(원데이터!A174-설정!$B$16&lt;0,0,IF(원데이터!A174-설정!$B$16&lt;설정!$B$17,설정!$B$33,IF(원데이터!A174-설정!$B$16&lt;설정!$B$17+설정!$B$18,설정!$B$33+(설정!$B$34-설정!$B$33)*(원데이터!A174-설정!$B$16-설정!$B$17+1)/설정!$B$18,IF(원데이터!A174-설정!$B$16&lt;설정!$B$17+설정!$B$18+설정!$B$19,설정!$B$34,IF(원데이터!A174-설정!$B$16&lt;설정!$B$17+설정!$B$18+설정!$B$19+설정!$B$20,설정!$B$34+(설정!$B$35-설정!$B$34)*(원데이터!A174-설정!$B$16-설정!$B$17-설정!$B$18-설정!$B$19+1)/설정!$B$20,0)))))</f>
        <v/>
      </c>
      <c r="X174" s="12">
        <f>0.108-0.0286*K174+0.0422*LN(설정!$B$5)+0.1434*LN(원데이터!E174)-0.000631*LN(설정!$B$5)^2*LN(원데이터!E174)</f>
        <v/>
      </c>
      <c r="Y174" s="17">
        <f>원데이터!M174</f>
        <v/>
      </c>
      <c r="Z174" s="18">
        <f>X174*Y174</f>
        <v/>
      </c>
      <c r="AA174" s="18">
        <f>U174*W174</f>
        <v/>
      </c>
      <c r="AB174" s="18">
        <f>Z174*W174</f>
        <v/>
      </c>
    </row>
    <row r="175">
      <c r="A175" s="15">
        <f>원데이터!A175</f>
        <v/>
      </c>
      <c r="B175" s="14">
        <f>원데이터!A175-DATE(YEAR(원데이터!A175),1,1)+1</f>
        <v/>
      </c>
      <c r="C175" s="17">
        <f>(원데이터!B175+원데이터!C175)/2</f>
        <v/>
      </c>
      <c r="D175" s="12">
        <f>0.6108*EXP(17.27*원데이터!B175/(원데이터!B175+237.3))</f>
        <v/>
      </c>
      <c r="E175" s="12">
        <f>0.6108*EXP(17.27*원데이터!C175/(원데이터!C175+237.3))</f>
        <v/>
      </c>
      <c r="F175" s="12">
        <f>(D175+E175)/2</f>
        <v/>
      </c>
      <c r="G175" s="12">
        <f>IF(원데이터!H175&lt;&gt;"",원데이터!H175/10,IF(원데이터!I175&lt;&gt;"",0.6108*EXP(17.27*원데이터!I175/(원데이터!I175+237.3)),원데이터!E175/100*F175))</f>
        <v/>
      </c>
      <c r="H175" s="21">
        <f>4098*(0.6108*EXP(17.27*C175/(C175+237.3)))/(C175+237.3)^2</f>
        <v/>
      </c>
      <c r="I175" s="17">
        <f>IF(원데이터!J175&lt;&gt;"",원데이터!J175/10,101.3*((293-0.0065*설정!$B$3)/293)^5.26)</f>
        <v/>
      </c>
      <c r="J175" s="21">
        <f>0.000665*I175</f>
        <v/>
      </c>
      <c r="K175" s="18">
        <f>원데이터!G175*4.87/LN(67.8*설정!$B$4-5.42)</f>
        <v/>
      </c>
      <c r="L175" s="12">
        <f>1+0.033*COS(2*PI()*B175/365)</f>
        <v/>
      </c>
      <c r="M175" s="21">
        <f>0.409*SIN(2*PI()*B175/365-1.39)</f>
        <v/>
      </c>
      <c r="N175" s="21">
        <f>ACOS(-TAN(RADIANS(설정!$B$2))*TAN(M175))</f>
        <v/>
      </c>
      <c r="O175" s="18">
        <f>(24*60/PI())*0.082*L175*(N175*SIN(RADIANS(설정!$B$2))*SIN(M175)+COS(RADIANS(설정!$B$2))*COS(M175)*SIN(N175))</f>
        <v/>
      </c>
      <c r="P175" s="18">
        <f>(0.75+0.00002*설정!$B$3)*O175</f>
        <v/>
      </c>
      <c r="Q175" s="18">
        <f>IF(원데이터!K175&lt;&gt;"",원데이터!K175,(0.25+0.5*원데이터!L175/(24/PI()*N175))*O175)</f>
        <v/>
      </c>
      <c r="R175" s="18">
        <f>0.77*Q175</f>
        <v/>
      </c>
      <c r="S175" s="18">
        <f>0.000000004903*(((원데이터!B175+273.16)^4+(원데이터!C175+273.16)^4)/2)*(0.34-0.14*SQRT(G175))*(1.35*MIN(Q175/P175,1)-0.35)</f>
        <v/>
      </c>
      <c r="T175" s="18">
        <f>R175-S175</f>
        <v/>
      </c>
      <c r="U175" s="18">
        <f>(0.408*H175*T175+J175*(900/(C175+273))*K175*(F175-G175))/(H175+J175*(1+0.34*K175))</f>
        <v/>
      </c>
      <c r="V175" s="11">
        <f>IF(원데이터!A175-설정!$B$16&lt;0,"발아전",IF(원데이터!A175-설정!$B$16&lt;설정!$B$17,"초기",IF(원데이터!A175-설정!$B$16&lt;설정!$B$17+설정!$B$18,"발육",IF(원데이터!A175-설정!$B$16&lt;설정!$B$17+설정!$B$18+설정!$B$19,"중기",IF(원데이터!A175-설정!$B$16&lt;설정!$B$17+설정!$B$18+설정!$B$19+설정!$B$20,"후기","후기이후")))))</f>
        <v/>
      </c>
      <c r="W175" s="12">
        <f>IF(원데이터!A175-설정!$B$16&lt;0,0,IF(원데이터!A175-설정!$B$16&lt;설정!$B$17,설정!$B$33,IF(원데이터!A175-설정!$B$16&lt;설정!$B$17+설정!$B$18,설정!$B$33+(설정!$B$34-설정!$B$33)*(원데이터!A175-설정!$B$16-설정!$B$17+1)/설정!$B$18,IF(원데이터!A175-설정!$B$16&lt;설정!$B$17+설정!$B$18+설정!$B$19,설정!$B$34,IF(원데이터!A175-설정!$B$16&lt;설정!$B$17+설정!$B$18+설정!$B$19+설정!$B$20,설정!$B$34+(설정!$B$35-설정!$B$34)*(원데이터!A175-설정!$B$16-설정!$B$17-설정!$B$18-설정!$B$19+1)/설정!$B$20,0)))))</f>
        <v/>
      </c>
      <c r="X175" s="12">
        <f>0.108-0.0286*K175+0.0422*LN(설정!$B$5)+0.1434*LN(원데이터!E175)-0.000631*LN(설정!$B$5)^2*LN(원데이터!E175)</f>
        <v/>
      </c>
      <c r="Y175" s="17">
        <f>원데이터!M175</f>
        <v/>
      </c>
      <c r="Z175" s="18">
        <f>X175*Y175</f>
        <v/>
      </c>
      <c r="AA175" s="18">
        <f>U175*W175</f>
        <v/>
      </c>
      <c r="AB175" s="18">
        <f>Z175*W175</f>
        <v/>
      </c>
    </row>
    <row r="176">
      <c r="A176" s="15">
        <f>원데이터!A176</f>
        <v/>
      </c>
      <c r="B176" s="14">
        <f>원데이터!A176-DATE(YEAR(원데이터!A176),1,1)+1</f>
        <v/>
      </c>
      <c r="C176" s="17">
        <f>(원데이터!B176+원데이터!C176)/2</f>
        <v/>
      </c>
      <c r="D176" s="12">
        <f>0.6108*EXP(17.27*원데이터!B176/(원데이터!B176+237.3))</f>
        <v/>
      </c>
      <c r="E176" s="12">
        <f>0.6108*EXP(17.27*원데이터!C176/(원데이터!C176+237.3))</f>
        <v/>
      </c>
      <c r="F176" s="12">
        <f>(D176+E176)/2</f>
        <v/>
      </c>
      <c r="G176" s="12">
        <f>IF(원데이터!H176&lt;&gt;"",원데이터!H176/10,IF(원데이터!I176&lt;&gt;"",0.6108*EXP(17.27*원데이터!I176/(원데이터!I176+237.3)),원데이터!E176/100*F176))</f>
        <v/>
      </c>
      <c r="H176" s="21">
        <f>4098*(0.6108*EXP(17.27*C176/(C176+237.3)))/(C176+237.3)^2</f>
        <v/>
      </c>
      <c r="I176" s="17">
        <f>IF(원데이터!J176&lt;&gt;"",원데이터!J176/10,101.3*((293-0.0065*설정!$B$3)/293)^5.26)</f>
        <v/>
      </c>
      <c r="J176" s="21">
        <f>0.000665*I176</f>
        <v/>
      </c>
      <c r="K176" s="18">
        <f>원데이터!G176*4.87/LN(67.8*설정!$B$4-5.42)</f>
        <v/>
      </c>
      <c r="L176" s="12">
        <f>1+0.033*COS(2*PI()*B176/365)</f>
        <v/>
      </c>
      <c r="M176" s="21">
        <f>0.409*SIN(2*PI()*B176/365-1.39)</f>
        <v/>
      </c>
      <c r="N176" s="21">
        <f>ACOS(-TAN(RADIANS(설정!$B$2))*TAN(M176))</f>
        <v/>
      </c>
      <c r="O176" s="18">
        <f>(24*60/PI())*0.082*L176*(N176*SIN(RADIANS(설정!$B$2))*SIN(M176)+COS(RADIANS(설정!$B$2))*COS(M176)*SIN(N176))</f>
        <v/>
      </c>
      <c r="P176" s="18">
        <f>(0.75+0.00002*설정!$B$3)*O176</f>
        <v/>
      </c>
      <c r="Q176" s="18">
        <f>IF(원데이터!K176&lt;&gt;"",원데이터!K176,(0.25+0.5*원데이터!L176/(24/PI()*N176))*O176)</f>
        <v/>
      </c>
      <c r="R176" s="18">
        <f>0.77*Q176</f>
        <v/>
      </c>
      <c r="S176" s="18">
        <f>0.000000004903*(((원데이터!B176+273.16)^4+(원데이터!C176+273.16)^4)/2)*(0.34-0.14*SQRT(G176))*(1.35*MIN(Q176/P176,1)-0.35)</f>
        <v/>
      </c>
      <c r="T176" s="18">
        <f>R176-S176</f>
        <v/>
      </c>
      <c r="U176" s="18">
        <f>(0.408*H176*T176+J176*(900/(C176+273))*K176*(F176-G176))/(H176+J176*(1+0.34*K176))</f>
        <v/>
      </c>
      <c r="V176" s="11">
        <f>IF(원데이터!A176-설정!$B$16&lt;0,"발아전",IF(원데이터!A176-설정!$B$16&lt;설정!$B$17,"초기",IF(원데이터!A176-설정!$B$16&lt;설정!$B$17+설정!$B$18,"발육",IF(원데이터!A176-설정!$B$16&lt;설정!$B$17+설정!$B$18+설정!$B$19,"중기",IF(원데이터!A176-설정!$B$16&lt;설정!$B$17+설정!$B$18+설정!$B$19+설정!$B$20,"후기","후기이후")))))</f>
        <v/>
      </c>
      <c r="W176" s="12">
        <f>IF(원데이터!A176-설정!$B$16&lt;0,0,IF(원데이터!A176-설정!$B$16&lt;설정!$B$17,설정!$B$33,IF(원데이터!A176-설정!$B$16&lt;설정!$B$17+설정!$B$18,설정!$B$33+(설정!$B$34-설정!$B$33)*(원데이터!A176-설정!$B$16-설정!$B$17+1)/설정!$B$18,IF(원데이터!A176-설정!$B$16&lt;설정!$B$17+설정!$B$18+설정!$B$19,설정!$B$34,IF(원데이터!A176-설정!$B$16&lt;설정!$B$17+설정!$B$18+설정!$B$19+설정!$B$20,설정!$B$34+(설정!$B$35-설정!$B$34)*(원데이터!A176-설정!$B$16-설정!$B$17-설정!$B$18-설정!$B$19+1)/설정!$B$20,0)))))</f>
        <v/>
      </c>
      <c r="X176" s="12">
        <f>0.108-0.0286*K176+0.0422*LN(설정!$B$5)+0.1434*LN(원데이터!E176)-0.000631*LN(설정!$B$5)^2*LN(원데이터!E176)</f>
        <v/>
      </c>
      <c r="Y176" s="17">
        <f>원데이터!M176</f>
        <v/>
      </c>
      <c r="Z176" s="18">
        <f>X176*Y176</f>
        <v/>
      </c>
      <c r="AA176" s="18">
        <f>U176*W176</f>
        <v/>
      </c>
      <c r="AB176" s="18">
        <f>Z176*W176</f>
        <v/>
      </c>
    </row>
    <row r="177">
      <c r="A177" s="15">
        <f>원데이터!A177</f>
        <v/>
      </c>
      <c r="B177" s="14">
        <f>원데이터!A177-DATE(YEAR(원데이터!A177),1,1)+1</f>
        <v/>
      </c>
      <c r="C177" s="17">
        <f>(원데이터!B177+원데이터!C177)/2</f>
        <v/>
      </c>
      <c r="D177" s="12">
        <f>0.6108*EXP(17.27*원데이터!B177/(원데이터!B177+237.3))</f>
        <v/>
      </c>
      <c r="E177" s="12">
        <f>0.6108*EXP(17.27*원데이터!C177/(원데이터!C177+237.3))</f>
        <v/>
      </c>
      <c r="F177" s="12">
        <f>(D177+E177)/2</f>
        <v/>
      </c>
      <c r="G177" s="12">
        <f>IF(원데이터!H177&lt;&gt;"",원데이터!H177/10,IF(원데이터!I177&lt;&gt;"",0.6108*EXP(17.27*원데이터!I177/(원데이터!I177+237.3)),원데이터!E177/100*F177))</f>
        <v/>
      </c>
      <c r="H177" s="21">
        <f>4098*(0.6108*EXP(17.27*C177/(C177+237.3)))/(C177+237.3)^2</f>
        <v/>
      </c>
      <c r="I177" s="17">
        <f>IF(원데이터!J177&lt;&gt;"",원데이터!J177/10,101.3*((293-0.0065*설정!$B$3)/293)^5.26)</f>
        <v/>
      </c>
      <c r="J177" s="21">
        <f>0.000665*I177</f>
        <v/>
      </c>
      <c r="K177" s="18">
        <f>원데이터!G177*4.87/LN(67.8*설정!$B$4-5.42)</f>
        <v/>
      </c>
      <c r="L177" s="12">
        <f>1+0.033*COS(2*PI()*B177/365)</f>
        <v/>
      </c>
      <c r="M177" s="21">
        <f>0.409*SIN(2*PI()*B177/365-1.39)</f>
        <v/>
      </c>
      <c r="N177" s="21">
        <f>ACOS(-TAN(RADIANS(설정!$B$2))*TAN(M177))</f>
        <v/>
      </c>
      <c r="O177" s="18">
        <f>(24*60/PI())*0.082*L177*(N177*SIN(RADIANS(설정!$B$2))*SIN(M177)+COS(RADIANS(설정!$B$2))*COS(M177)*SIN(N177))</f>
        <v/>
      </c>
      <c r="P177" s="18">
        <f>(0.75+0.00002*설정!$B$3)*O177</f>
        <v/>
      </c>
      <c r="Q177" s="18">
        <f>IF(원데이터!K177&lt;&gt;"",원데이터!K177,(0.25+0.5*원데이터!L177/(24/PI()*N177))*O177)</f>
        <v/>
      </c>
      <c r="R177" s="18">
        <f>0.77*Q177</f>
        <v/>
      </c>
      <c r="S177" s="18">
        <f>0.000000004903*(((원데이터!B177+273.16)^4+(원데이터!C177+273.16)^4)/2)*(0.34-0.14*SQRT(G177))*(1.35*MIN(Q177/P177,1)-0.35)</f>
        <v/>
      </c>
      <c r="T177" s="18">
        <f>R177-S177</f>
        <v/>
      </c>
      <c r="U177" s="18">
        <f>(0.408*H177*T177+J177*(900/(C177+273))*K177*(F177-G177))/(H177+J177*(1+0.34*K177))</f>
        <v/>
      </c>
      <c r="V177" s="11">
        <f>IF(원데이터!A177-설정!$B$16&lt;0,"발아전",IF(원데이터!A177-설정!$B$16&lt;설정!$B$17,"초기",IF(원데이터!A177-설정!$B$16&lt;설정!$B$17+설정!$B$18,"발육",IF(원데이터!A177-설정!$B$16&lt;설정!$B$17+설정!$B$18+설정!$B$19,"중기",IF(원데이터!A177-설정!$B$16&lt;설정!$B$17+설정!$B$18+설정!$B$19+설정!$B$20,"후기","후기이후")))))</f>
        <v/>
      </c>
      <c r="W177" s="12">
        <f>IF(원데이터!A177-설정!$B$16&lt;0,0,IF(원데이터!A177-설정!$B$16&lt;설정!$B$17,설정!$B$33,IF(원데이터!A177-설정!$B$16&lt;설정!$B$17+설정!$B$18,설정!$B$33+(설정!$B$34-설정!$B$33)*(원데이터!A177-설정!$B$16-설정!$B$17+1)/설정!$B$18,IF(원데이터!A177-설정!$B$16&lt;설정!$B$17+설정!$B$18+설정!$B$19,설정!$B$34,IF(원데이터!A177-설정!$B$16&lt;설정!$B$17+설정!$B$18+설정!$B$19+설정!$B$20,설정!$B$34+(설정!$B$35-설정!$B$34)*(원데이터!A177-설정!$B$16-설정!$B$17-설정!$B$18-설정!$B$19+1)/설정!$B$20,0)))))</f>
        <v/>
      </c>
      <c r="X177" s="12">
        <f>0.108-0.0286*K177+0.0422*LN(설정!$B$5)+0.1434*LN(원데이터!E177)-0.000631*LN(설정!$B$5)^2*LN(원데이터!E177)</f>
        <v/>
      </c>
      <c r="Y177" s="17">
        <f>원데이터!M177</f>
        <v/>
      </c>
      <c r="Z177" s="18">
        <f>X177*Y177</f>
        <v/>
      </c>
      <c r="AA177" s="18">
        <f>U177*W177</f>
        <v/>
      </c>
      <c r="AB177" s="18">
        <f>Z177*W177</f>
        <v/>
      </c>
    </row>
    <row r="178">
      <c r="A178" s="15">
        <f>원데이터!A178</f>
        <v/>
      </c>
      <c r="B178" s="14">
        <f>원데이터!A178-DATE(YEAR(원데이터!A178),1,1)+1</f>
        <v/>
      </c>
      <c r="C178" s="17">
        <f>(원데이터!B178+원데이터!C178)/2</f>
        <v/>
      </c>
      <c r="D178" s="12">
        <f>0.6108*EXP(17.27*원데이터!B178/(원데이터!B178+237.3))</f>
        <v/>
      </c>
      <c r="E178" s="12">
        <f>0.6108*EXP(17.27*원데이터!C178/(원데이터!C178+237.3))</f>
        <v/>
      </c>
      <c r="F178" s="12">
        <f>(D178+E178)/2</f>
        <v/>
      </c>
      <c r="G178" s="12">
        <f>IF(원데이터!H178&lt;&gt;"",원데이터!H178/10,IF(원데이터!I178&lt;&gt;"",0.6108*EXP(17.27*원데이터!I178/(원데이터!I178+237.3)),원데이터!E178/100*F178))</f>
        <v/>
      </c>
      <c r="H178" s="21">
        <f>4098*(0.6108*EXP(17.27*C178/(C178+237.3)))/(C178+237.3)^2</f>
        <v/>
      </c>
      <c r="I178" s="17">
        <f>IF(원데이터!J178&lt;&gt;"",원데이터!J178/10,101.3*((293-0.0065*설정!$B$3)/293)^5.26)</f>
        <v/>
      </c>
      <c r="J178" s="21">
        <f>0.000665*I178</f>
        <v/>
      </c>
      <c r="K178" s="18">
        <f>원데이터!G178*4.87/LN(67.8*설정!$B$4-5.42)</f>
        <v/>
      </c>
      <c r="L178" s="12">
        <f>1+0.033*COS(2*PI()*B178/365)</f>
        <v/>
      </c>
      <c r="M178" s="21">
        <f>0.409*SIN(2*PI()*B178/365-1.39)</f>
        <v/>
      </c>
      <c r="N178" s="21">
        <f>ACOS(-TAN(RADIANS(설정!$B$2))*TAN(M178))</f>
        <v/>
      </c>
      <c r="O178" s="18">
        <f>(24*60/PI())*0.082*L178*(N178*SIN(RADIANS(설정!$B$2))*SIN(M178)+COS(RADIANS(설정!$B$2))*COS(M178)*SIN(N178))</f>
        <v/>
      </c>
      <c r="P178" s="18">
        <f>(0.75+0.00002*설정!$B$3)*O178</f>
        <v/>
      </c>
      <c r="Q178" s="18">
        <f>IF(원데이터!K178&lt;&gt;"",원데이터!K178,(0.25+0.5*원데이터!L178/(24/PI()*N178))*O178)</f>
        <v/>
      </c>
      <c r="R178" s="18">
        <f>0.77*Q178</f>
        <v/>
      </c>
      <c r="S178" s="18">
        <f>0.000000004903*(((원데이터!B178+273.16)^4+(원데이터!C178+273.16)^4)/2)*(0.34-0.14*SQRT(G178))*(1.35*MIN(Q178/P178,1)-0.35)</f>
        <v/>
      </c>
      <c r="T178" s="18">
        <f>R178-S178</f>
        <v/>
      </c>
      <c r="U178" s="18">
        <f>(0.408*H178*T178+J178*(900/(C178+273))*K178*(F178-G178))/(H178+J178*(1+0.34*K178))</f>
        <v/>
      </c>
      <c r="V178" s="11">
        <f>IF(원데이터!A178-설정!$B$16&lt;0,"발아전",IF(원데이터!A178-설정!$B$16&lt;설정!$B$17,"초기",IF(원데이터!A178-설정!$B$16&lt;설정!$B$17+설정!$B$18,"발육",IF(원데이터!A178-설정!$B$16&lt;설정!$B$17+설정!$B$18+설정!$B$19,"중기",IF(원데이터!A178-설정!$B$16&lt;설정!$B$17+설정!$B$18+설정!$B$19+설정!$B$20,"후기","후기이후")))))</f>
        <v/>
      </c>
      <c r="W178" s="12">
        <f>IF(원데이터!A178-설정!$B$16&lt;0,0,IF(원데이터!A178-설정!$B$16&lt;설정!$B$17,설정!$B$33,IF(원데이터!A178-설정!$B$16&lt;설정!$B$17+설정!$B$18,설정!$B$33+(설정!$B$34-설정!$B$33)*(원데이터!A178-설정!$B$16-설정!$B$17+1)/설정!$B$18,IF(원데이터!A178-설정!$B$16&lt;설정!$B$17+설정!$B$18+설정!$B$19,설정!$B$34,IF(원데이터!A178-설정!$B$16&lt;설정!$B$17+설정!$B$18+설정!$B$19+설정!$B$20,설정!$B$34+(설정!$B$35-설정!$B$34)*(원데이터!A178-설정!$B$16-설정!$B$17-설정!$B$18-설정!$B$19+1)/설정!$B$20,0)))))</f>
        <v/>
      </c>
      <c r="X178" s="12">
        <f>0.108-0.0286*K178+0.0422*LN(설정!$B$5)+0.1434*LN(원데이터!E178)-0.000631*LN(설정!$B$5)^2*LN(원데이터!E178)</f>
        <v/>
      </c>
      <c r="Y178" s="17">
        <f>원데이터!M178</f>
        <v/>
      </c>
      <c r="Z178" s="18">
        <f>X178*Y178</f>
        <v/>
      </c>
      <c r="AA178" s="18">
        <f>U178*W178</f>
        <v/>
      </c>
      <c r="AB178" s="18">
        <f>Z178*W178</f>
        <v/>
      </c>
    </row>
    <row r="179">
      <c r="A179" s="15">
        <f>원데이터!A179</f>
        <v/>
      </c>
      <c r="B179" s="14">
        <f>원데이터!A179-DATE(YEAR(원데이터!A179),1,1)+1</f>
        <v/>
      </c>
      <c r="C179" s="17">
        <f>(원데이터!B179+원데이터!C179)/2</f>
        <v/>
      </c>
      <c r="D179" s="12">
        <f>0.6108*EXP(17.27*원데이터!B179/(원데이터!B179+237.3))</f>
        <v/>
      </c>
      <c r="E179" s="12">
        <f>0.6108*EXP(17.27*원데이터!C179/(원데이터!C179+237.3))</f>
        <v/>
      </c>
      <c r="F179" s="12">
        <f>(D179+E179)/2</f>
        <v/>
      </c>
      <c r="G179" s="12">
        <f>IF(원데이터!H179&lt;&gt;"",원데이터!H179/10,IF(원데이터!I179&lt;&gt;"",0.6108*EXP(17.27*원데이터!I179/(원데이터!I179+237.3)),원데이터!E179/100*F179))</f>
        <v/>
      </c>
      <c r="H179" s="21">
        <f>4098*(0.6108*EXP(17.27*C179/(C179+237.3)))/(C179+237.3)^2</f>
        <v/>
      </c>
      <c r="I179" s="17">
        <f>IF(원데이터!J179&lt;&gt;"",원데이터!J179/10,101.3*((293-0.0065*설정!$B$3)/293)^5.26)</f>
        <v/>
      </c>
      <c r="J179" s="21">
        <f>0.000665*I179</f>
        <v/>
      </c>
      <c r="K179" s="18">
        <f>원데이터!G179*4.87/LN(67.8*설정!$B$4-5.42)</f>
        <v/>
      </c>
      <c r="L179" s="12">
        <f>1+0.033*COS(2*PI()*B179/365)</f>
        <v/>
      </c>
      <c r="M179" s="21">
        <f>0.409*SIN(2*PI()*B179/365-1.39)</f>
        <v/>
      </c>
      <c r="N179" s="21">
        <f>ACOS(-TAN(RADIANS(설정!$B$2))*TAN(M179))</f>
        <v/>
      </c>
      <c r="O179" s="18">
        <f>(24*60/PI())*0.082*L179*(N179*SIN(RADIANS(설정!$B$2))*SIN(M179)+COS(RADIANS(설정!$B$2))*COS(M179)*SIN(N179))</f>
        <v/>
      </c>
      <c r="P179" s="18">
        <f>(0.75+0.00002*설정!$B$3)*O179</f>
        <v/>
      </c>
      <c r="Q179" s="18">
        <f>IF(원데이터!K179&lt;&gt;"",원데이터!K179,(0.25+0.5*원데이터!L179/(24/PI()*N179))*O179)</f>
        <v/>
      </c>
      <c r="R179" s="18">
        <f>0.77*Q179</f>
        <v/>
      </c>
      <c r="S179" s="18">
        <f>0.000000004903*(((원데이터!B179+273.16)^4+(원데이터!C179+273.16)^4)/2)*(0.34-0.14*SQRT(G179))*(1.35*MIN(Q179/P179,1)-0.35)</f>
        <v/>
      </c>
      <c r="T179" s="18">
        <f>R179-S179</f>
        <v/>
      </c>
      <c r="U179" s="18">
        <f>(0.408*H179*T179+J179*(900/(C179+273))*K179*(F179-G179))/(H179+J179*(1+0.34*K179))</f>
        <v/>
      </c>
      <c r="V179" s="11">
        <f>IF(원데이터!A179-설정!$B$16&lt;0,"발아전",IF(원데이터!A179-설정!$B$16&lt;설정!$B$17,"초기",IF(원데이터!A179-설정!$B$16&lt;설정!$B$17+설정!$B$18,"발육",IF(원데이터!A179-설정!$B$16&lt;설정!$B$17+설정!$B$18+설정!$B$19,"중기",IF(원데이터!A179-설정!$B$16&lt;설정!$B$17+설정!$B$18+설정!$B$19+설정!$B$20,"후기","후기이후")))))</f>
        <v/>
      </c>
      <c r="W179" s="12">
        <f>IF(원데이터!A179-설정!$B$16&lt;0,0,IF(원데이터!A179-설정!$B$16&lt;설정!$B$17,설정!$B$33,IF(원데이터!A179-설정!$B$16&lt;설정!$B$17+설정!$B$18,설정!$B$33+(설정!$B$34-설정!$B$33)*(원데이터!A179-설정!$B$16-설정!$B$17+1)/설정!$B$18,IF(원데이터!A179-설정!$B$16&lt;설정!$B$17+설정!$B$18+설정!$B$19,설정!$B$34,IF(원데이터!A179-설정!$B$16&lt;설정!$B$17+설정!$B$18+설정!$B$19+설정!$B$20,설정!$B$34+(설정!$B$35-설정!$B$34)*(원데이터!A179-설정!$B$16-설정!$B$17-설정!$B$18-설정!$B$19+1)/설정!$B$20,0)))))</f>
        <v/>
      </c>
      <c r="X179" s="12">
        <f>0.108-0.0286*K179+0.0422*LN(설정!$B$5)+0.1434*LN(원데이터!E179)-0.000631*LN(설정!$B$5)^2*LN(원데이터!E179)</f>
        <v/>
      </c>
      <c r="Y179" s="17">
        <f>원데이터!M179</f>
        <v/>
      </c>
      <c r="Z179" s="18">
        <f>X179*Y179</f>
        <v/>
      </c>
      <c r="AA179" s="18">
        <f>U179*W179</f>
        <v/>
      </c>
      <c r="AB179" s="18">
        <f>Z179*W179</f>
        <v/>
      </c>
    </row>
    <row r="180">
      <c r="A180" s="15">
        <f>원데이터!A180</f>
        <v/>
      </c>
      <c r="B180" s="14">
        <f>원데이터!A180-DATE(YEAR(원데이터!A180),1,1)+1</f>
        <v/>
      </c>
      <c r="C180" s="17">
        <f>(원데이터!B180+원데이터!C180)/2</f>
        <v/>
      </c>
      <c r="D180" s="12">
        <f>0.6108*EXP(17.27*원데이터!B180/(원데이터!B180+237.3))</f>
        <v/>
      </c>
      <c r="E180" s="12">
        <f>0.6108*EXP(17.27*원데이터!C180/(원데이터!C180+237.3))</f>
        <v/>
      </c>
      <c r="F180" s="12">
        <f>(D180+E180)/2</f>
        <v/>
      </c>
      <c r="G180" s="12">
        <f>IF(원데이터!H180&lt;&gt;"",원데이터!H180/10,IF(원데이터!I180&lt;&gt;"",0.6108*EXP(17.27*원데이터!I180/(원데이터!I180+237.3)),원데이터!E180/100*F180))</f>
        <v/>
      </c>
      <c r="H180" s="21">
        <f>4098*(0.6108*EXP(17.27*C180/(C180+237.3)))/(C180+237.3)^2</f>
        <v/>
      </c>
      <c r="I180" s="17">
        <f>IF(원데이터!J180&lt;&gt;"",원데이터!J180/10,101.3*((293-0.0065*설정!$B$3)/293)^5.26)</f>
        <v/>
      </c>
      <c r="J180" s="21">
        <f>0.000665*I180</f>
        <v/>
      </c>
      <c r="K180" s="18">
        <f>원데이터!G180*4.87/LN(67.8*설정!$B$4-5.42)</f>
        <v/>
      </c>
      <c r="L180" s="12">
        <f>1+0.033*COS(2*PI()*B180/365)</f>
        <v/>
      </c>
      <c r="M180" s="21">
        <f>0.409*SIN(2*PI()*B180/365-1.39)</f>
        <v/>
      </c>
      <c r="N180" s="21">
        <f>ACOS(-TAN(RADIANS(설정!$B$2))*TAN(M180))</f>
        <v/>
      </c>
      <c r="O180" s="18">
        <f>(24*60/PI())*0.082*L180*(N180*SIN(RADIANS(설정!$B$2))*SIN(M180)+COS(RADIANS(설정!$B$2))*COS(M180)*SIN(N180))</f>
        <v/>
      </c>
      <c r="P180" s="18">
        <f>(0.75+0.00002*설정!$B$3)*O180</f>
        <v/>
      </c>
      <c r="Q180" s="18">
        <f>IF(원데이터!K180&lt;&gt;"",원데이터!K180,(0.25+0.5*원데이터!L180/(24/PI()*N180))*O180)</f>
        <v/>
      </c>
      <c r="R180" s="18">
        <f>0.77*Q180</f>
        <v/>
      </c>
      <c r="S180" s="18">
        <f>0.000000004903*(((원데이터!B180+273.16)^4+(원데이터!C180+273.16)^4)/2)*(0.34-0.14*SQRT(G180))*(1.35*MIN(Q180/P180,1)-0.35)</f>
        <v/>
      </c>
      <c r="T180" s="18">
        <f>R180-S180</f>
        <v/>
      </c>
      <c r="U180" s="18">
        <f>(0.408*H180*T180+J180*(900/(C180+273))*K180*(F180-G180))/(H180+J180*(1+0.34*K180))</f>
        <v/>
      </c>
      <c r="V180" s="11">
        <f>IF(원데이터!A180-설정!$B$16&lt;0,"발아전",IF(원데이터!A180-설정!$B$16&lt;설정!$B$17,"초기",IF(원데이터!A180-설정!$B$16&lt;설정!$B$17+설정!$B$18,"발육",IF(원데이터!A180-설정!$B$16&lt;설정!$B$17+설정!$B$18+설정!$B$19,"중기",IF(원데이터!A180-설정!$B$16&lt;설정!$B$17+설정!$B$18+설정!$B$19+설정!$B$20,"후기","후기이후")))))</f>
        <v/>
      </c>
      <c r="W180" s="12">
        <f>IF(원데이터!A180-설정!$B$16&lt;0,0,IF(원데이터!A180-설정!$B$16&lt;설정!$B$17,설정!$B$33,IF(원데이터!A180-설정!$B$16&lt;설정!$B$17+설정!$B$18,설정!$B$33+(설정!$B$34-설정!$B$33)*(원데이터!A180-설정!$B$16-설정!$B$17+1)/설정!$B$18,IF(원데이터!A180-설정!$B$16&lt;설정!$B$17+설정!$B$18+설정!$B$19,설정!$B$34,IF(원데이터!A180-설정!$B$16&lt;설정!$B$17+설정!$B$18+설정!$B$19+설정!$B$20,설정!$B$34+(설정!$B$35-설정!$B$34)*(원데이터!A180-설정!$B$16-설정!$B$17-설정!$B$18-설정!$B$19+1)/설정!$B$20,0)))))</f>
        <v/>
      </c>
      <c r="X180" s="12">
        <f>0.108-0.0286*K180+0.0422*LN(설정!$B$5)+0.1434*LN(원데이터!E180)-0.000631*LN(설정!$B$5)^2*LN(원데이터!E180)</f>
        <v/>
      </c>
      <c r="Y180" s="17">
        <f>원데이터!M180</f>
        <v/>
      </c>
      <c r="Z180" s="18">
        <f>X180*Y180</f>
        <v/>
      </c>
      <c r="AA180" s="18">
        <f>U180*W180</f>
        <v/>
      </c>
      <c r="AB180" s="18">
        <f>Z180*W180</f>
        <v/>
      </c>
    </row>
    <row r="181">
      <c r="A181" s="15">
        <f>원데이터!A181</f>
        <v/>
      </c>
      <c r="B181" s="14">
        <f>원데이터!A181-DATE(YEAR(원데이터!A181),1,1)+1</f>
        <v/>
      </c>
      <c r="C181" s="17">
        <f>(원데이터!B181+원데이터!C181)/2</f>
        <v/>
      </c>
      <c r="D181" s="12">
        <f>0.6108*EXP(17.27*원데이터!B181/(원데이터!B181+237.3))</f>
        <v/>
      </c>
      <c r="E181" s="12">
        <f>0.6108*EXP(17.27*원데이터!C181/(원데이터!C181+237.3))</f>
        <v/>
      </c>
      <c r="F181" s="12">
        <f>(D181+E181)/2</f>
        <v/>
      </c>
      <c r="G181" s="12">
        <f>IF(원데이터!H181&lt;&gt;"",원데이터!H181/10,IF(원데이터!I181&lt;&gt;"",0.6108*EXP(17.27*원데이터!I181/(원데이터!I181+237.3)),원데이터!E181/100*F181))</f>
        <v/>
      </c>
      <c r="H181" s="21">
        <f>4098*(0.6108*EXP(17.27*C181/(C181+237.3)))/(C181+237.3)^2</f>
        <v/>
      </c>
      <c r="I181" s="17">
        <f>IF(원데이터!J181&lt;&gt;"",원데이터!J181/10,101.3*((293-0.0065*설정!$B$3)/293)^5.26)</f>
        <v/>
      </c>
      <c r="J181" s="21">
        <f>0.000665*I181</f>
        <v/>
      </c>
      <c r="K181" s="18">
        <f>원데이터!G181*4.87/LN(67.8*설정!$B$4-5.42)</f>
        <v/>
      </c>
      <c r="L181" s="12">
        <f>1+0.033*COS(2*PI()*B181/365)</f>
        <v/>
      </c>
      <c r="M181" s="21">
        <f>0.409*SIN(2*PI()*B181/365-1.39)</f>
        <v/>
      </c>
      <c r="N181" s="21">
        <f>ACOS(-TAN(RADIANS(설정!$B$2))*TAN(M181))</f>
        <v/>
      </c>
      <c r="O181" s="18">
        <f>(24*60/PI())*0.082*L181*(N181*SIN(RADIANS(설정!$B$2))*SIN(M181)+COS(RADIANS(설정!$B$2))*COS(M181)*SIN(N181))</f>
        <v/>
      </c>
      <c r="P181" s="18">
        <f>(0.75+0.00002*설정!$B$3)*O181</f>
        <v/>
      </c>
      <c r="Q181" s="18">
        <f>IF(원데이터!K181&lt;&gt;"",원데이터!K181,(0.25+0.5*원데이터!L181/(24/PI()*N181))*O181)</f>
        <v/>
      </c>
      <c r="R181" s="18">
        <f>0.77*Q181</f>
        <v/>
      </c>
      <c r="S181" s="18">
        <f>0.000000004903*(((원데이터!B181+273.16)^4+(원데이터!C181+273.16)^4)/2)*(0.34-0.14*SQRT(G181))*(1.35*MIN(Q181/P181,1)-0.35)</f>
        <v/>
      </c>
      <c r="T181" s="18">
        <f>R181-S181</f>
        <v/>
      </c>
      <c r="U181" s="18">
        <f>(0.408*H181*T181+J181*(900/(C181+273))*K181*(F181-G181))/(H181+J181*(1+0.34*K181))</f>
        <v/>
      </c>
      <c r="V181" s="11">
        <f>IF(원데이터!A181-설정!$B$16&lt;0,"발아전",IF(원데이터!A181-설정!$B$16&lt;설정!$B$17,"초기",IF(원데이터!A181-설정!$B$16&lt;설정!$B$17+설정!$B$18,"발육",IF(원데이터!A181-설정!$B$16&lt;설정!$B$17+설정!$B$18+설정!$B$19,"중기",IF(원데이터!A181-설정!$B$16&lt;설정!$B$17+설정!$B$18+설정!$B$19+설정!$B$20,"후기","후기이후")))))</f>
        <v/>
      </c>
      <c r="W181" s="12">
        <f>IF(원데이터!A181-설정!$B$16&lt;0,0,IF(원데이터!A181-설정!$B$16&lt;설정!$B$17,설정!$B$33,IF(원데이터!A181-설정!$B$16&lt;설정!$B$17+설정!$B$18,설정!$B$33+(설정!$B$34-설정!$B$33)*(원데이터!A181-설정!$B$16-설정!$B$17+1)/설정!$B$18,IF(원데이터!A181-설정!$B$16&lt;설정!$B$17+설정!$B$18+설정!$B$19,설정!$B$34,IF(원데이터!A181-설정!$B$16&lt;설정!$B$17+설정!$B$18+설정!$B$19+설정!$B$20,설정!$B$34+(설정!$B$35-설정!$B$34)*(원데이터!A181-설정!$B$16-설정!$B$17-설정!$B$18-설정!$B$19+1)/설정!$B$20,0)))))</f>
        <v/>
      </c>
      <c r="X181" s="12">
        <f>0.108-0.0286*K181+0.0422*LN(설정!$B$5)+0.1434*LN(원데이터!E181)-0.000631*LN(설정!$B$5)^2*LN(원데이터!E181)</f>
        <v/>
      </c>
      <c r="Y181" s="17">
        <f>원데이터!M181</f>
        <v/>
      </c>
      <c r="Z181" s="18">
        <f>X181*Y181</f>
        <v/>
      </c>
      <c r="AA181" s="18">
        <f>U181*W181</f>
        <v/>
      </c>
      <c r="AB181" s="18">
        <f>Z181*W181</f>
        <v/>
      </c>
    </row>
    <row r="182">
      <c r="A182" s="15">
        <f>원데이터!A182</f>
        <v/>
      </c>
      <c r="B182" s="14">
        <f>원데이터!A182-DATE(YEAR(원데이터!A182),1,1)+1</f>
        <v/>
      </c>
      <c r="C182" s="17">
        <f>(원데이터!B182+원데이터!C182)/2</f>
        <v/>
      </c>
      <c r="D182" s="12">
        <f>0.6108*EXP(17.27*원데이터!B182/(원데이터!B182+237.3))</f>
        <v/>
      </c>
      <c r="E182" s="12">
        <f>0.6108*EXP(17.27*원데이터!C182/(원데이터!C182+237.3))</f>
        <v/>
      </c>
      <c r="F182" s="12">
        <f>(D182+E182)/2</f>
        <v/>
      </c>
      <c r="G182" s="12">
        <f>IF(원데이터!H182&lt;&gt;"",원데이터!H182/10,IF(원데이터!I182&lt;&gt;"",0.6108*EXP(17.27*원데이터!I182/(원데이터!I182+237.3)),원데이터!E182/100*F182))</f>
        <v/>
      </c>
      <c r="H182" s="21">
        <f>4098*(0.6108*EXP(17.27*C182/(C182+237.3)))/(C182+237.3)^2</f>
        <v/>
      </c>
      <c r="I182" s="17">
        <f>IF(원데이터!J182&lt;&gt;"",원데이터!J182/10,101.3*((293-0.0065*설정!$B$3)/293)^5.26)</f>
        <v/>
      </c>
      <c r="J182" s="21">
        <f>0.000665*I182</f>
        <v/>
      </c>
      <c r="K182" s="18">
        <f>원데이터!G182*4.87/LN(67.8*설정!$B$4-5.42)</f>
        <v/>
      </c>
      <c r="L182" s="12">
        <f>1+0.033*COS(2*PI()*B182/365)</f>
        <v/>
      </c>
      <c r="M182" s="21">
        <f>0.409*SIN(2*PI()*B182/365-1.39)</f>
        <v/>
      </c>
      <c r="N182" s="21">
        <f>ACOS(-TAN(RADIANS(설정!$B$2))*TAN(M182))</f>
        <v/>
      </c>
      <c r="O182" s="18">
        <f>(24*60/PI())*0.082*L182*(N182*SIN(RADIANS(설정!$B$2))*SIN(M182)+COS(RADIANS(설정!$B$2))*COS(M182)*SIN(N182))</f>
        <v/>
      </c>
      <c r="P182" s="18">
        <f>(0.75+0.00002*설정!$B$3)*O182</f>
        <v/>
      </c>
      <c r="Q182" s="18">
        <f>IF(원데이터!K182&lt;&gt;"",원데이터!K182,(0.25+0.5*원데이터!L182/(24/PI()*N182))*O182)</f>
        <v/>
      </c>
      <c r="R182" s="18">
        <f>0.77*Q182</f>
        <v/>
      </c>
      <c r="S182" s="18">
        <f>0.000000004903*(((원데이터!B182+273.16)^4+(원데이터!C182+273.16)^4)/2)*(0.34-0.14*SQRT(G182))*(1.35*MIN(Q182/P182,1)-0.35)</f>
        <v/>
      </c>
      <c r="T182" s="18">
        <f>R182-S182</f>
        <v/>
      </c>
      <c r="U182" s="18">
        <f>(0.408*H182*T182+J182*(900/(C182+273))*K182*(F182-G182))/(H182+J182*(1+0.34*K182))</f>
        <v/>
      </c>
      <c r="V182" s="11">
        <f>IF(원데이터!A182-설정!$B$16&lt;0,"발아전",IF(원데이터!A182-설정!$B$16&lt;설정!$B$17,"초기",IF(원데이터!A182-설정!$B$16&lt;설정!$B$17+설정!$B$18,"발육",IF(원데이터!A182-설정!$B$16&lt;설정!$B$17+설정!$B$18+설정!$B$19,"중기",IF(원데이터!A182-설정!$B$16&lt;설정!$B$17+설정!$B$18+설정!$B$19+설정!$B$20,"후기","후기이후")))))</f>
        <v/>
      </c>
      <c r="W182" s="12">
        <f>IF(원데이터!A182-설정!$B$16&lt;0,0,IF(원데이터!A182-설정!$B$16&lt;설정!$B$17,설정!$B$33,IF(원데이터!A182-설정!$B$16&lt;설정!$B$17+설정!$B$18,설정!$B$33+(설정!$B$34-설정!$B$33)*(원데이터!A182-설정!$B$16-설정!$B$17+1)/설정!$B$18,IF(원데이터!A182-설정!$B$16&lt;설정!$B$17+설정!$B$18+설정!$B$19,설정!$B$34,IF(원데이터!A182-설정!$B$16&lt;설정!$B$17+설정!$B$18+설정!$B$19+설정!$B$20,설정!$B$34+(설정!$B$35-설정!$B$34)*(원데이터!A182-설정!$B$16-설정!$B$17-설정!$B$18-설정!$B$19+1)/설정!$B$20,0)))))</f>
        <v/>
      </c>
      <c r="X182" s="12">
        <f>0.108-0.0286*K182+0.0422*LN(설정!$B$5)+0.1434*LN(원데이터!E182)-0.000631*LN(설정!$B$5)^2*LN(원데이터!E182)</f>
        <v/>
      </c>
      <c r="Y182" s="17">
        <f>원데이터!M182</f>
        <v/>
      </c>
      <c r="Z182" s="18">
        <f>X182*Y182</f>
        <v/>
      </c>
      <c r="AA182" s="18">
        <f>U182*W182</f>
        <v/>
      </c>
      <c r="AB182" s="18">
        <f>Z182*W182</f>
        <v/>
      </c>
    </row>
    <row r="183">
      <c r="A183" s="15">
        <f>원데이터!A183</f>
        <v/>
      </c>
      <c r="B183" s="14">
        <f>원데이터!A183-DATE(YEAR(원데이터!A183),1,1)+1</f>
        <v/>
      </c>
      <c r="C183" s="17">
        <f>(원데이터!B183+원데이터!C183)/2</f>
        <v/>
      </c>
      <c r="D183" s="12">
        <f>0.6108*EXP(17.27*원데이터!B183/(원데이터!B183+237.3))</f>
        <v/>
      </c>
      <c r="E183" s="12">
        <f>0.6108*EXP(17.27*원데이터!C183/(원데이터!C183+237.3))</f>
        <v/>
      </c>
      <c r="F183" s="12">
        <f>(D183+E183)/2</f>
        <v/>
      </c>
      <c r="G183" s="12">
        <f>IF(원데이터!H183&lt;&gt;"",원데이터!H183/10,IF(원데이터!I183&lt;&gt;"",0.6108*EXP(17.27*원데이터!I183/(원데이터!I183+237.3)),원데이터!E183/100*F183))</f>
        <v/>
      </c>
      <c r="H183" s="21">
        <f>4098*(0.6108*EXP(17.27*C183/(C183+237.3)))/(C183+237.3)^2</f>
        <v/>
      </c>
      <c r="I183" s="17">
        <f>IF(원데이터!J183&lt;&gt;"",원데이터!J183/10,101.3*((293-0.0065*설정!$B$3)/293)^5.26)</f>
        <v/>
      </c>
      <c r="J183" s="21">
        <f>0.000665*I183</f>
        <v/>
      </c>
      <c r="K183" s="18">
        <f>원데이터!G183*4.87/LN(67.8*설정!$B$4-5.42)</f>
        <v/>
      </c>
      <c r="L183" s="12">
        <f>1+0.033*COS(2*PI()*B183/365)</f>
        <v/>
      </c>
      <c r="M183" s="21">
        <f>0.409*SIN(2*PI()*B183/365-1.39)</f>
        <v/>
      </c>
      <c r="N183" s="21">
        <f>ACOS(-TAN(RADIANS(설정!$B$2))*TAN(M183))</f>
        <v/>
      </c>
      <c r="O183" s="18">
        <f>(24*60/PI())*0.082*L183*(N183*SIN(RADIANS(설정!$B$2))*SIN(M183)+COS(RADIANS(설정!$B$2))*COS(M183)*SIN(N183))</f>
        <v/>
      </c>
      <c r="P183" s="18">
        <f>(0.75+0.00002*설정!$B$3)*O183</f>
        <v/>
      </c>
      <c r="Q183" s="18">
        <f>IF(원데이터!K183&lt;&gt;"",원데이터!K183,(0.25+0.5*원데이터!L183/(24/PI()*N183))*O183)</f>
        <v/>
      </c>
      <c r="R183" s="18">
        <f>0.77*Q183</f>
        <v/>
      </c>
      <c r="S183" s="18">
        <f>0.000000004903*(((원데이터!B183+273.16)^4+(원데이터!C183+273.16)^4)/2)*(0.34-0.14*SQRT(G183))*(1.35*MIN(Q183/P183,1)-0.35)</f>
        <v/>
      </c>
      <c r="T183" s="18">
        <f>R183-S183</f>
        <v/>
      </c>
      <c r="U183" s="18">
        <f>(0.408*H183*T183+J183*(900/(C183+273))*K183*(F183-G183))/(H183+J183*(1+0.34*K183))</f>
        <v/>
      </c>
      <c r="V183" s="11">
        <f>IF(원데이터!A183-설정!$B$16&lt;0,"발아전",IF(원데이터!A183-설정!$B$16&lt;설정!$B$17,"초기",IF(원데이터!A183-설정!$B$16&lt;설정!$B$17+설정!$B$18,"발육",IF(원데이터!A183-설정!$B$16&lt;설정!$B$17+설정!$B$18+설정!$B$19,"중기",IF(원데이터!A183-설정!$B$16&lt;설정!$B$17+설정!$B$18+설정!$B$19+설정!$B$20,"후기","후기이후")))))</f>
        <v/>
      </c>
      <c r="W183" s="12">
        <f>IF(원데이터!A183-설정!$B$16&lt;0,0,IF(원데이터!A183-설정!$B$16&lt;설정!$B$17,설정!$B$33,IF(원데이터!A183-설정!$B$16&lt;설정!$B$17+설정!$B$18,설정!$B$33+(설정!$B$34-설정!$B$33)*(원데이터!A183-설정!$B$16-설정!$B$17+1)/설정!$B$18,IF(원데이터!A183-설정!$B$16&lt;설정!$B$17+설정!$B$18+설정!$B$19,설정!$B$34,IF(원데이터!A183-설정!$B$16&lt;설정!$B$17+설정!$B$18+설정!$B$19+설정!$B$20,설정!$B$34+(설정!$B$35-설정!$B$34)*(원데이터!A183-설정!$B$16-설정!$B$17-설정!$B$18-설정!$B$19+1)/설정!$B$20,0)))))</f>
        <v/>
      </c>
      <c r="X183" s="12">
        <f>0.108-0.0286*K183+0.0422*LN(설정!$B$5)+0.1434*LN(원데이터!E183)-0.000631*LN(설정!$B$5)^2*LN(원데이터!E183)</f>
        <v/>
      </c>
      <c r="Y183" s="17">
        <f>원데이터!M183</f>
        <v/>
      </c>
      <c r="Z183" s="18">
        <f>X183*Y183</f>
        <v/>
      </c>
      <c r="AA183" s="18">
        <f>U183*W183</f>
        <v/>
      </c>
      <c r="AB183" s="18">
        <f>Z183*W183</f>
        <v/>
      </c>
    </row>
    <row r="184">
      <c r="A184" s="15">
        <f>원데이터!A184</f>
        <v/>
      </c>
      <c r="B184" s="14">
        <f>원데이터!A184-DATE(YEAR(원데이터!A184),1,1)+1</f>
        <v/>
      </c>
      <c r="C184" s="17">
        <f>(원데이터!B184+원데이터!C184)/2</f>
        <v/>
      </c>
      <c r="D184" s="12">
        <f>0.6108*EXP(17.27*원데이터!B184/(원데이터!B184+237.3))</f>
        <v/>
      </c>
      <c r="E184" s="12">
        <f>0.6108*EXP(17.27*원데이터!C184/(원데이터!C184+237.3))</f>
        <v/>
      </c>
      <c r="F184" s="12">
        <f>(D184+E184)/2</f>
        <v/>
      </c>
      <c r="G184" s="12">
        <f>IF(원데이터!H184&lt;&gt;"",원데이터!H184/10,IF(원데이터!I184&lt;&gt;"",0.6108*EXP(17.27*원데이터!I184/(원데이터!I184+237.3)),원데이터!E184/100*F184))</f>
        <v/>
      </c>
      <c r="H184" s="21">
        <f>4098*(0.6108*EXP(17.27*C184/(C184+237.3)))/(C184+237.3)^2</f>
        <v/>
      </c>
      <c r="I184" s="17">
        <f>IF(원데이터!J184&lt;&gt;"",원데이터!J184/10,101.3*((293-0.0065*설정!$B$3)/293)^5.26)</f>
        <v/>
      </c>
      <c r="J184" s="21">
        <f>0.000665*I184</f>
        <v/>
      </c>
      <c r="K184" s="18">
        <f>원데이터!G184*4.87/LN(67.8*설정!$B$4-5.42)</f>
        <v/>
      </c>
      <c r="L184" s="12">
        <f>1+0.033*COS(2*PI()*B184/365)</f>
        <v/>
      </c>
      <c r="M184" s="21">
        <f>0.409*SIN(2*PI()*B184/365-1.39)</f>
        <v/>
      </c>
      <c r="N184" s="21">
        <f>ACOS(-TAN(RADIANS(설정!$B$2))*TAN(M184))</f>
        <v/>
      </c>
      <c r="O184" s="18">
        <f>(24*60/PI())*0.082*L184*(N184*SIN(RADIANS(설정!$B$2))*SIN(M184)+COS(RADIANS(설정!$B$2))*COS(M184)*SIN(N184))</f>
        <v/>
      </c>
      <c r="P184" s="18">
        <f>(0.75+0.00002*설정!$B$3)*O184</f>
        <v/>
      </c>
      <c r="Q184" s="18">
        <f>IF(원데이터!K184&lt;&gt;"",원데이터!K184,(0.25+0.5*원데이터!L184/(24/PI()*N184))*O184)</f>
        <v/>
      </c>
      <c r="R184" s="18">
        <f>0.77*Q184</f>
        <v/>
      </c>
      <c r="S184" s="18">
        <f>0.000000004903*(((원데이터!B184+273.16)^4+(원데이터!C184+273.16)^4)/2)*(0.34-0.14*SQRT(G184))*(1.35*MIN(Q184/P184,1)-0.35)</f>
        <v/>
      </c>
      <c r="T184" s="18">
        <f>R184-S184</f>
        <v/>
      </c>
      <c r="U184" s="18">
        <f>(0.408*H184*T184+J184*(900/(C184+273))*K184*(F184-G184))/(H184+J184*(1+0.34*K184))</f>
        <v/>
      </c>
      <c r="V184" s="11">
        <f>IF(원데이터!A184-설정!$B$16&lt;0,"발아전",IF(원데이터!A184-설정!$B$16&lt;설정!$B$17,"초기",IF(원데이터!A184-설정!$B$16&lt;설정!$B$17+설정!$B$18,"발육",IF(원데이터!A184-설정!$B$16&lt;설정!$B$17+설정!$B$18+설정!$B$19,"중기",IF(원데이터!A184-설정!$B$16&lt;설정!$B$17+설정!$B$18+설정!$B$19+설정!$B$20,"후기","후기이후")))))</f>
        <v/>
      </c>
      <c r="W184" s="12">
        <f>IF(원데이터!A184-설정!$B$16&lt;0,0,IF(원데이터!A184-설정!$B$16&lt;설정!$B$17,설정!$B$33,IF(원데이터!A184-설정!$B$16&lt;설정!$B$17+설정!$B$18,설정!$B$33+(설정!$B$34-설정!$B$33)*(원데이터!A184-설정!$B$16-설정!$B$17+1)/설정!$B$18,IF(원데이터!A184-설정!$B$16&lt;설정!$B$17+설정!$B$18+설정!$B$19,설정!$B$34,IF(원데이터!A184-설정!$B$16&lt;설정!$B$17+설정!$B$18+설정!$B$19+설정!$B$20,설정!$B$34+(설정!$B$35-설정!$B$34)*(원데이터!A184-설정!$B$16-설정!$B$17-설정!$B$18-설정!$B$19+1)/설정!$B$20,0)))))</f>
        <v/>
      </c>
      <c r="X184" s="12">
        <f>0.108-0.0286*K184+0.0422*LN(설정!$B$5)+0.1434*LN(원데이터!E184)-0.000631*LN(설정!$B$5)^2*LN(원데이터!E184)</f>
        <v/>
      </c>
      <c r="Y184" s="17">
        <f>원데이터!M184</f>
        <v/>
      </c>
      <c r="Z184" s="18">
        <f>X184*Y184</f>
        <v/>
      </c>
      <c r="AA184" s="18">
        <f>U184*W184</f>
        <v/>
      </c>
      <c r="AB184" s="18">
        <f>Z184*W184</f>
        <v/>
      </c>
    </row>
    <row r="185">
      <c r="A185" s="15">
        <f>원데이터!A185</f>
        <v/>
      </c>
      <c r="B185" s="14">
        <f>원데이터!A185-DATE(YEAR(원데이터!A185),1,1)+1</f>
        <v/>
      </c>
      <c r="C185" s="17">
        <f>(원데이터!B185+원데이터!C185)/2</f>
        <v/>
      </c>
      <c r="D185" s="12">
        <f>0.6108*EXP(17.27*원데이터!B185/(원데이터!B185+237.3))</f>
        <v/>
      </c>
      <c r="E185" s="12">
        <f>0.6108*EXP(17.27*원데이터!C185/(원데이터!C185+237.3))</f>
        <v/>
      </c>
      <c r="F185" s="12">
        <f>(D185+E185)/2</f>
        <v/>
      </c>
      <c r="G185" s="12">
        <f>IF(원데이터!H185&lt;&gt;"",원데이터!H185/10,IF(원데이터!I185&lt;&gt;"",0.6108*EXP(17.27*원데이터!I185/(원데이터!I185+237.3)),원데이터!E185/100*F185))</f>
        <v/>
      </c>
      <c r="H185" s="21">
        <f>4098*(0.6108*EXP(17.27*C185/(C185+237.3)))/(C185+237.3)^2</f>
        <v/>
      </c>
      <c r="I185" s="17">
        <f>IF(원데이터!J185&lt;&gt;"",원데이터!J185/10,101.3*((293-0.0065*설정!$B$3)/293)^5.26)</f>
        <v/>
      </c>
      <c r="J185" s="21">
        <f>0.000665*I185</f>
        <v/>
      </c>
      <c r="K185" s="18">
        <f>원데이터!G185*4.87/LN(67.8*설정!$B$4-5.42)</f>
        <v/>
      </c>
      <c r="L185" s="12">
        <f>1+0.033*COS(2*PI()*B185/365)</f>
        <v/>
      </c>
      <c r="M185" s="21">
        <f>0.409*SIN(2*PI()*B185/365-1.39)</f>
        <v/>
      </c>
      <c r="N185" s="21">
        <f>ACOS(-TAN(RADIANS(설정!$B$2))*TAN(M185))</f>
        <v/>
      </c>
      <c r="O185" s="18">
        <f>(24*60/PI())*0.082*L185*(N185*SIN(RADIANS(설정!$B$2))*SIN(M185)+COS(RADIANS(설정!$B$2))*COS(M185)*SIN(N185))</f>
        <v/>
      </c>
      <c r="P185" s="18">
        <f>(0.75+0.00002*설정!$B$3)*O185</f>
        <v/>
      </c>
      <c r="Q185" s="18">
        <f>IF(원데이터!K185&lt;&gt;"",원데이터!K185,(0.25+0.5*원데이터!L185/(24/PI()*N185))*O185)</f>
        <v/>
      </c>
      <c r="R185" s="18">
        <f>0.77*Q185</f>
        <v/>
      </c>
      <c r="S185" s="18">
        <f>0.000000004903*(((원데이터!B185+273.16)^4+(원데이터!C185+273.16)^4)/2)*(0.34-0.14*SQRT(G185))*(1.35*MIN(Q185/P185,1)-0.35)</f>
        <v/>
      </c>
      <c r="T185" s="18">
        <f>R185-S185</f>
        <v/>
      </c>
      <c r="U185" s="18">
        <f>(0.408*H185*T185+J185*(900/(C185+273))*K185*(F185-G185))/(H185+J185*(1+0.34*K185))</f>
        <v/>
      </c>
      <c r="V185" s="11">
        <f>IF(원데이터!A185-설정!$B$16&lt;0,"발아전",IF(원데이터!A185-설정!$B$16&lt;설정!$B$17,"초기",IF(원데이터!A185-설정!$B$16&lt;설정!$B$17+설정!$B$18,"발육",IF(원데이터!A185-설정!$B$16&lt;설정!$B$17+설정!$B$18+설정!$B$19,"중기",IF(원데이터!A185-설정!$B$16&lt;설정!$B$17+설정!$B$18+설정!$B$19+설정!$B$20,"후기","후기이후")))))</f>
        <v/>
      </c>
      <c r="W185" s="12">
        <f>IF(원데이터!A185-설정!$B$16&lt;0,0,IF(원데이터!A185-설정!$B$16&lt;설정!$B$17,설정!$B$33,IF(원데이터!A185-설정!$B$16&lt;설정!$B$17+설정!$B$18,설정!$B$33+(설정!$B$34-설정!$B$33)*(원데이터!A185-설정!$B$16-설정!$B$17+1)/설정!$B$18,IF(원데이터!A185-설정!$B$16&lt;설정!$B$17+설정!$B$18+설정!$B$19,설정!$B$34,IF(원데이터!A185-설정!$B$16&lt;설정!$B$17+설정!$B$18+설정!$B$19+설정!$B$20,설정!$B$34+(설정!$B$35-설정!$B$34)*(원데이터!A185-설정!$B$16-설정!$B$17-설정!$B$18-설정!$B$19+1)/설정!$B$20,0)))))</f>
        <v/>
      </c>
      <c r="X185" s="12">
        <f>0.108-0.0286*K185+0.0422*LN(설정!$B$5)+0.1434*LN(원데이터!E185)-0.000631*LN(설정!$B$5)^2*LN(원데이터!E185)</f>
        <v/>
      </c>
      <c r="Y185" s="17">
        <f>원데이터!M185</f>
        <v/>
      </c>
      <c r="Z185" s="18">
        <f>X185*Y185</f>
        <v/>
      </c>
      <c r="AA185" s="18">
        <f>U185*W185</f>
        <v/>
      </c>
      <c r="AB185" s="18">
        <f>Z185*W185</f>
        <v/>
      </c>
    </row>
    <row r="186">
      <c r="A186" s="15">
        <f>원데이터!A186</f>
        <v/>
      </c>
      <c r="B186" s="14">
        <f>원데이터!A186-DATE(YEAR(원데이터!A186),1,1)+1</f>
        <v/>
      </c>
      <c r="C186" s="17">
        <f>(원데이터!B186+원데이터!C186)/2</f>
        <v/>
      </c>
      <c r="D186" s="12">
        <f>0.6108*EXP(17.27*원데이터!B186/(원데이터!B186+237.3))</f>
        <v/>
      </c>
      <c r="E186" s="12">
        <f>0.6108*EXP(17.27*원데이터!C186/(원데이터!C186+237.3))</f>
        <v/>
      </c>
      <c r="F186" s="12">
        <f>(D186+E186)/2</f>
        <v/>
      </c>
      <c r="G186" s="12">
        <f>IF(원데이터!H186&lt;&gt;"",원데이터!H186/10,IF(원데이터!I186&lt;&gt;"",0.6108*EXP(17.27*원데이터!I186/(원데이터!I186+237.3)),원데이터!E186/100*F186))</f>
        <v/>
      </c>
      <c r="H186" s="21">
        <f>4098*(0.6108*EXP(17.27*C186/(C186+237.3)))/(C186+237.3)^2</f>
        <v/>
      </c>
      <c r="I186" s="17">
        <f>IF(원데이터!J186&lt;&gt;"",원데이터!J186/10,101.3*((293-0.0065*설정!$B$3)/293)^5.26)</f>
        <v/>
      </c>
      <c r="J186" s="21">
        <f>0.000665*I186</f>
        <v/>
      </c>
      <c r="K186" s="18">
        <f>원데이터!G186*4.87/LN(67.8*설정!$B$4-5.42)</f>
        <v/>
      </c>
      <c r="L186" s="12">
        <f>1+0.033*COS(2*PI()*B186/365)</f>
        <v/>
      </c>
      <c r="M186" s="21">
        <f>0.409*SIN(2*PI()*B186/365-1.39)</f>
        <v/>
      </c>
      <c r="N186" s="21">
        <f>ACOS(-TAN(RADIANS(설정!$B$2))*TAN(M186))</f>
        <v/>
      </c>
      <c r="O186" s="18">
        <f>(24*60/PI())*0.082*L186*(N186*SIN(RADIANS(설정!$B$2))*SIN(M186)+COS(RADIANS(설정!$B$2))*COS(M186)*SIN(N186))</f>
        <v/>
      </c>
      <c r="P186" s="18">
        <f>(0.75+0.00002*설정!$B$3)*O186</f>
        <v/>
      </c>
      <c r="Q186" s="18">
        <f>IF(원데이터!K186&lt;&gt;"",원데이터!K186,(0.25+0.5*원데이터!L186/(24/PI()*N186))*O186)</f>
        <v/>
      </c>
      <c r="R186" s="18">
        <f>0.77*Q186</f>
        <v/>
      </c>
      <c r="S186" s="18">
        <f>0.000000004903*(((원데이터!B186+273.16)^4+(원데이터!C186+273.16)^4)/2)*(0.34-0.14*SQRT(G186))*(1.35*MIN(Q186/P186,1)-0.35)</f>
        <v/>
      </c>
      <c r="T186" s="18">
        <f>R186-S186</f>
        <v/>
      </c>
      <c r="U186" s="18">
        <f>(0.408*H186*T186+J186*(900/(C186+273))*K186*(F186-G186))/(H186+J186*(1+0.34*K186))</f>
        <v/>
      </c>
      <c r="V186" s="11">
        <f>IF(원데이터!A186-설정!$B$16&lt;0,"발아전",IF(원데이터!A186-설정!$B$16&lt;설정!$B$17,"초기",IF(원데이터!A186-설정!$B$16&lt;설정!$B$17+설정!$B$18,"발육",IF(원데이터!A186-설정!$B$16&lt;설정!$B$17+설정!$B$18+설정!$B$19,"중기",IF(원데이터!A186-설정!$B$16&lt;설정!$B$17+설정!$B$18+설정!$B$19+설정!$B$20,"후기","후기이후")))))</f>
        <v/>
      </c>
      <c r="W186" s="12">
        <f>IF(원데이터!A186-설정!$B$16&lt;0,0,IF(원데이터!A186-설정!$B$16&lt;설정!$B$17,설정!$B$33,IF(원데이터!A186-설정!$B$16&lt;설정!$B$17+설정!$B$18,설정!$B$33+(설정!$B$34-설정!$B$33)*(원데이터!A186-설정!$B$16-설정!$B$17+1)/설정!$B$18,IF(원데이터!A186-설정!$B$16&lt;설정!$B$17+설정!$B$18+설정!$B$19,설정!$B$34,IF(원데이터!A186-설정!$B$16&lt;설정!$B$17+설정!$B$18+설정!$B$19+설정!$B$20,설정!$B$34+(설정!$B$35-설정!$B$34)*(원데이터!A186-설정!$B$16-설정!$B$17-설정!$B$18-설정!$B$19+1)/설정!$B$20,0)))))</f>
        <v/>
      </c>
      <c r="X186" s="12">
        <f>0.108-0.0286*K186+0.0422*LN(설정!$B$5)+0.1434*LN(원데이터!E186)-0.000631*LN(설정!$B$5)^2*LN(원데이터!E186)</f>
        <v/>
      </c>
      <c r="Y186" s="17">
        <f>원데이터!M186</f>
        <v/>
      </c>
      <c r="Z186" s="18">
        <f>X186*Y186</f>
        <v/>
      </c>
      <c r="AA186" s="18">
        <f>U186*W186</f>
        <v/>
      </c>
      <c r="AB186" s="18">
        <f>Z186*W186</f>
        <v/>
      </c>
    </row>
    <row r="187">
      <c r="A187" s="15">
        <f>원데이터!A187</f>
        <v/>
      </c>
      <c r="B187" s="14">
        <f>원데이터!A187-DATE(YEAR(원데이터!A187),1,1)+1</f>
        <v/>
      </c>
      <c r="C187" s="17">
        <f>(원데이터!B187+원데이터!C187)/2</f>
        <v/>
      </c>
      <c r="D187" s="12">
        <f>0.6108*EXP(17.27*원데이터!B187/(원데이터!B187+237.3))</f>
        <v/>
      </c>
      <c r="E187" s="12">
        <f>0.6108*EXP(17.27*원데이터!C187/(원데이터!C187+237.3))</f>
        <v/>
      </c>
      <c r="F187" s="12">
        <f>(D187+E187)/2</f>
        <v/>
      </c>
      <c r="G187" s="12">
        <f>IF(원데이터!H187&lt;&gt;"",원데이터!H187/10,IF(원데이터!I187&lt;&gt;"",0.6108*EXP(17.27*원데이터!I187/(원데이터!I187+237.3)),원데이터!E187/100*F187))</f>
        <v/>
      </c>
      <c r="H187" s="21">
        <f>4098*(0.6108*EXP(17.27*C187/(C187+237.3)))/(C187+237.3)^2</f>
        <v/>
      </c>
      <c r="I187" s="17">
        <f>IF(원데이터!J187&lt;&gt;"",원데이터!J187/10,101.3*((293-0.0065*설정!$B$3)/293)^5.26)</f>
        <v/>
      </c>
      <c r="J187" s="21">
        <f>0.000665*I187</f>
        <v/>
      </c>
      <c r="K187" s="18">
        <f>원데이터!G187*4.87/LN(67.8*설정!$B$4-5.42)</f>
        <v/>
      </c>
      <c r="L187" s="12">
        <f>1+0.033*COS(2*PI()*B187/365)</f>
        <v/>
      </c>
      <c r="M187" s="21">
        <f>0.409*SIN(2*PI()*B187/365-1.39)</f>
        <v/>
      </c>
      <c r="N187" s="21">
        <f>ACOS(-TAN(RADIANS(설정!$B$2))*TAN(M187))</f>
        <v/>
      </c>
      <c r="O187" s="18">
        <f>(24*60/PI())*0.082*L187*(N187*SIN(RADIANS(설정!$B$2))*SIN(M187)+COS(RADIANS(설정!$B$2))*COS(M187)*SIN(N187))</f>
        <v/>
      </c>
      <c r="P187" s="18">
        <f>(0.75+0.00002*설정!$B$3)*O187</f>
        <v/>
      </c>
      <c r="Q187" s="18">
        <f>IF(원데이터!K187&lt;&gt;"",원데이터!K187,(0.25+0.5*원데이터!L187/(24/PI()*N187))*O187)</f>
        <v/>
      </c>
      <c r="R187" s="18">
        <f>0.77*Q187</f>
        <v/>
      </c>
      <c r="S187" s="18">
        <f>0.000000004903*(((원데이터!B187+273.16)^4+(원데이터!C187+273.16)^4)/2)*(0.34-0.14*SQRT(G187))*(1.35*MIN(Q187/P187,1)-0.35)</f>
        <v/>
      </c>
      <c r="T187" s="18">
        <f>R187-S187</f>
        <v/>
      </c>
      <c r="U187" s="18">
        <f>(0.408*H187*T187+J187*(900/(C187+273))*K187*(F187-G187))/(H187+J187*(1+0.34*K187))</f>
        <v/>
      </c>
      <c r="V187" s="11">
        <f>IF(원데이터!A187-설정!$B$16&lt;0,"발아전",IF(원데이터!A187-설정!$B$16&lt;설정!$B$17,"초기",IF(원데이터!A187-설정!$B$16&lt;설정!$B$17+설정!$B$18,"발육",IF(원데이터!A187-설정!$B$16&lt;설정!$B$17+설정!$B$18+설정!$B$19,"중기",IF(원데이터!A187-설정!$B$16&lt;설정!$B$17+설정!$B$18+설정!$B$19+설정!$B$20,"후기","후기이후")))))</f>
        <v/>
      </c>
      <c r="W187" s="12">
        <f>IF(원데이터!A187-설정!$B$16&lt;0,0,IF(원데이터!A187-설정!$B$16&lt;설정!$B$17,설정!$B$33,IF(원데이터!A187-설정!$B$16&lt;설정!$B$17+설정!$B$18,설정!$B$33+(설정!$B$34-설정!$B$33)*(원데이터!A187-설정!$B$16-설정!$B$17+1)/설정!$B$18,IF(원데이터!A187-설정!$B$16&lt;설정!$B$17+설정!$B$18+설정!$B$19,설정!$B$34,IF(원데이터!A187-설정!$B$16&lt;설정!$B$17+설정!$B$18+설정!$B$19+설정!$B$20,설정!$B$34+(설정!$B$35-설정!$B$34)*(원데이터!A187-설정!$B$16-설정!$B$17-설정!$B$18-설정!$B$19+1)/설정!$B$20,0)))))</f>
        <v/>
      </c>
      <c r="X187" s="12">
        <f>0.108-0.0286*K187+0.0422*LN(설정!$B$5)+0.1434*LN(원데이터!E187)-0.000631*LN(설정!$B$5)^2*LN(원데이터!E187)</f>
        <v/>
      </c>
      <c r="Y187" s="17">
        <f>원데이터!M187</f>
        <v/>
      </c>
      <c r="Z187" s="18">
        <f>X187*Y187</f>
        <v/>
      </c>
      <c r="AA187" s="18">
        <f>U187*W187</f>
        <v/>
      </c>
      <c r="AB187" s="18">
        <f>Z187*W187</f>
        <v/>
      </c>
    </row>
    <row r="188">
      <c r="A188" s="15">
        <f>원데이터!A188</f>
        <v/>
      </c>
      <c r="B188" s="14">
        <f>원데이터!A188-DATE(YEAR(원데이터!A188),1,1)+1</f>
        <v/>
      </c>
      <c r="C188" s="17">
        <f>(원데이터!B188+원데이터!C188)/2</f>
        <v/>
      </c>
      <c r="D188" s="12">
        <f>0.6108*EXP(17.27*원데이터!B188/(원데이터!B188+237.3))</f>
        <v/>
      </c>
      <c r="E188" s="12">
        <f>0.6108*EXP(17.27*원데이터!C188/(원데이터!C188+237.3))</f>
        <v/>
      </c>
      <c r="F188" s="12">
        <f>(D188+E188)/2</f>
        <v/>
      </c>
      <c r="G188" s="12">
        <f>IF(원데이터!H188&lt;&gt;"",원데이터!H188/10,IF(원데이터!I188&lt;&gt;"",0.6108*EXP(17.27*원데이터!I188/(원데이터!I188+237.3)),원데이터!E188/100*F188))</f>
        <v/>
      </c>
      <c r="H188" s="21">
        <f>4098*(0.6108*EXP(17.27*C188/(C188+237.3)))/(C188+237.3)^2</f>
        <v/>
      </c>
      <c r="I188" s="17">
        <f>IF(원데이터!J188&lt;&gt;"",원데이터!J188/10,101.3*((293-0.0065*설정!$B$3)/293)^5.26)</f>
        <v/>
      </c>
      <c r="J188" s="21">
        <f>0.000665*I188</f>
        <v/>
      </c>
      <c r="K188" s="18">
        <f>원데이터!G188*4.87/LN(67.8*설정!$B$4-5.42)</f>
        <v/>
      </c>
      <c r="L188" s="12">
        <f>1+0.033*COS(2*PI()*B188/365)</f>
        <v/>
      </c>
      <c r="M188" s="21">
        <f>0.409*SIN(2*PI()*B188/365-1.39)</f>
        <v/>
      </c>
      <c r="N188" s="21">
        <f>ACOS(-TAN(RADIANS(설정!$B$2))*TAN(M188))</f>
        <v/>
      </c>
      <c r="O188" s="18">
        <f>(24*60/PI())*0.082*L188*(N188*SIN(RADIANS(설정!$B$2))*SIN(M188)+COS(RADIANS(설정!$B$2))*COS(M188)*SIN(N188))</f>
        <v/>
      </c>
      <c r="P188" s="18">
        <f>(0.75+0.00002*설정!$B$3)*O188</f>
        <v/>
      </c>
      <c r="Q188" s="18">
        <f>IF(원데이터!K188&lt;&gt;"",원데이터!K188,(0.25+0.5*원데이터!L188/(24/PI()*N188))*O188)</f>
        <v/>
      </c>
      <c r="R188" s="18">
        <f>0.77*Q188</f>
        <v/>
      </c>
      <c r="S188" s="18">
        <f>0.000000004903*(((원데이터!B188+273.16)^4+(원데이터!C188+273.16)^4)/2)*(0.34-0.14*SQRT(G188))*(1.35*MIN(Q188/P188,1)-0.35)</f>
        <v/>
      </c>
      <c r="T188" s="18">
        <f>R188-S188</f>
        <v/>
      </c>
      <c r="U188" s="18">
        <f>(0.408*H188*T188+J188*(900/(C188+273))*K188*(F188-G188))/(H188+J188*(1+0.34*K188))</f>
        <v/>
      </c>
      <c r="V188" s="11">
        <f>IF(원데이터!A188-설정!$B$16&lt;0,"발아전",IF(원데이터!A188-설정!$B$16&lt;설정!$B$17,"초기",IF(원데이터!A188-설정!$B$16&lt;설정!$B$17+설정!$B$18,"발육",IF(원데이터!A188-설정!$B$16&lt;설정!$B$17+설정!$B$18+설정!$B$19,"중기",IF(원데이터!A188-설정!$B$16&lt;설정!$B$17+설정!$B$18+설정!$B$19+설정!$B$20,"후기","후기이후")))))</f>
        <v/>
      </c>
      <c r="W188" s="12">
        <f>IF(원데이터!A188-설정!$B$16&lt;0,0,IF(원데이터!A188-설정!$B$16&lt;설정!$B$17,설정!$B$33,IF(원데이터!A188-설정!$B$16&lt;설정!$B$17+설정!$B$18,설정!$B$33+(설정!$B$34-설정!$B$33)*(원데이터!A188-설정!$B$16-설정!$B$17+1)/설정!$B$18,IF(원데이터!A188-설정!$B$16&lt;설정!$B$17+설정!$B$18+설정!$B$19,설정!$B$34,IF(원데이터!A188-설정!$B$16&lt;설정!$B$17+설정!$B$18+설정!$B$19+설정!$B$20,설정!$B$34+(설정!$B$35-설정!$B$34)*(원데이터!A188-설정!$B$16-설정!$B$17-설정!$B$18-설정!$B$19+1)/설정!$B$20,0)))))</f>
        <v/>
      </c>
      <c r="X188" s="12">
        <f>0.108-0.0286*K188+0.0422*LN(설정!$B$5)+0.1434*LN(원데이터!E188)-0.000631*LN(설정!$B$5)^2*LN(원데이터!E188)</f>
        <v/>
      </c>
      <c r="Y188" s="17">
        <f>원데이터!M188</f>
        <v/>
      </c>
      <c r="Z188" s="18">
        <f>X188*Y188</f>
        <v/>
      </c>
      <c r="AA188" s="18">
        <f>U188*W188</f>
        <v/>
      </c>
      <c r="AB188" s="18">
        <f>Z188*W188</f>
        <v/>
      </c>
    </row>
    <row r="189">
      <c r="A189" s="15">
        <f>원데이터!A189</f>
        <v/>
      </c>
      <c r="B189" s="14">
        <f>원데이터!A189-DATE(YEAR(원데이터!A189),1,1)+1</f>
        <v/>
      </c>
      <c r="C189" s="17">
        <f>(원데이터!B189+원데이터!C189)/2</f>
        <v/>
      </c>
      <c r="D189" s="12">
        <f>0.6108*EXP(17.27*원데이터!B189/(원데이터!B189+237.3))</f>
        <v/>
      </c>
      <c r="E189" s="12">
        <f>0.6108*EXP(17.27*원데이터!C189/(원데이터!C189+237.3))</f>
        <v/>
      </c>
      <c r="F189" s="12">
        <f>(D189+E189)/2</f>
        <v/>
      </c>
      <c r="G189" s="12">
        <f>IF(원데이터!H189&lt;&gt;"",원데이터!H189/10,IF(원데이터!I189&lt;&gt;"",0.6108*EXP(17.27*원데이터!I189/(원데이터!I189+237.3)),원데이터!E189/100*F189))</f>
        <v/>
      </c>
      <c r="H189" s="21">
        <f>4098*(0.6108*EXP(17.27*C189/(C189+237.3)))/(C189+237.3)^2</f>
        <v/>
      </c>
      <c r="I189" s="17">
        <f>IF(원데이터!J189&lt;&gt;"",원데이터!J189/10,101.3*((293-0.0065*설정!$B$3)/293)^5.26)</f>
        <v/>
      </c>
      <c r="J189" s="21">
        <f>0.000665*I189</f>
        <v/>
      </c>
      <c r="K189" s="18">
        <f>원데이터!G189*4.87/LN(67.8*설정!$B$4-5.42)</f>
        <v/>
      </c>
      <c r="L189" s="12">
        <f>1+0.033*COS(2*PI()*B189/365)</f>
        <v/>
      </c>
      <c r="M189" s="21">
        <f>0.409*SIN(2*PI()*B189/365-1.39)</f>
        <v/>
      </c>
      <c r="N189" s="21">
        <f>ACOS(-TAN(RADIANS(설정!$B$2))*TAN(M189))</f>
        <v/>
      </c>
      <c r="O189" s="18">
        <f>(24*60/PI())*0.082*L189*(N189*SIN(RADIANS(설정!$B$2))*SIN(M189)+COS(RADIANS(설정!$B$2))*COS(M189)*SIN(N189))</f>
        <v/>
      </c>
      <c r="P189" s="18">
        <f>(0.75+0.00002*설정!$B$3)*O189</f>
        <v/>
      </c>
      <c r="Q189" s="18">
        <f>IF(원데이터!K189&lt;&gt;"",원데이터!K189,(0.25+0.5*원데이터!L189/(24/PI()*N189))*O189)</f>
        <v/>
      </c>
      <c r="R189" s="18">
        <f>0.77*Q189</f>
        <v/>
      </c>
      <c r="S189" s="18">
        <f>0.000000004903*(((원데이터!B189+273.16)^4+(원데이터!C189+273.16)^4)/2)*(0.34-0.14*SQRT(G189))*(1.35*MIN(Q189/P189,1)-0.35)</f>
        <v/>
      </c>
      <c r="T189" s="18">
        <f>R189-S189</f>
        <v/>
      </c>
      <c r="U189" s="18">
        <f>(0.408*H189*T189+J189*(900/(C189+273))*K189*(F189-G189))/(H189+J189*(1+0.34*K189))</f>
        <v/>
      </c>
      <c r="V189" s="11">
        <f>IF(원데이터!A189-설정!$B$16&lt;0,"발아전",IF(원데이터!A189-설정!$B$16&lt;설정!$B$17,"초기",IF(원데이터!A189-설정!$B$16&lt;설정!$B$17+설정!$B$18,"발육",IF(원데이터!A189-설정!$B$16&lt;설정!$B$17+설정!$B$18+설정!$B$19,"중기",IF(원데이터!A189-설정!$B$16&lt;설정!$B$17+설정!$B$18+설정!$B$19+설정!$B$20,"후기","후기이후")))))</f>
        <v/>
      </c>
      <c r="W189" s="12">
        <f>IF(원데이터!A189-설정!$B$16&lt;0,0,IF(원데이터!A189-설정!$B$16&lt;설정!$B$17,설정!$B$33,IF(원데이터!A189-설정!$B$16&lt;설정!$B$17+설정!$B$18,설정!$B$33+(설정!$B$34-설정!$B$33)*(원데이터!A189-설정!$B$16-설정!$B$17+1)/설정!$B$18,IF(원데이터!A189-설정!$B$16&lt;설정!$B$17+설정!$B$18+설정!$B$19,설정!$B$34,IF(원데이터!A189-설정!$B$16&lt;설정!$B$17+설정!$B$18+설정!$B$19+설정!$B$20,설정!$B$34+(설정!$B$35-설정!$B$34)*(원데이터!A189-설정!$B$16-설정!$B$17-설정!$B$18-설정!$B$19+1)/설정!$B$20,0)))))</f>
        <v/>
      </c>
      <c r="X189" s="12">
        <f>0.108-0.0286*K189+0.0422*LN(설정!$B$5)+0.1434*LN(원데이터!E189)-0.000631*LN(설정!$B$5)^2*LN(원데이터!E189)</f>
        <v/>
      </c>
      <c r="Y189" s="17">
        <f>원데이터!M189</f>
        <v/>
      </c>
      <c r="Z189" s="18">
        <f>X189*Y189</f>
        <v/>
      </c>
      <c r="AA189" s="18">
        <f>U189*W189</f>
        <v/>
      </c>
      <c r="AB189" s="18">
        <f>Z189*W189</f>
        <v/>
      </c>
    </row>
    <row r="190">
      <c r="A190" s="15">
        <f>원데이터!A190</f>
        <v/>
      </c>
      <c r="B190" s="14">
        <f>원데이터!A190-DATE(YEAR(원데이터!A190),1,1)+1</f>
        <v/>
      </c>
      <c r="C190" s="17">
        <f>(원데이터!B190+원데이터!C190)/2</f>
        <v/>
      </c>
      <c r="D190" s="12">
        <f>0.6108*EXP(17.27*원데이터!B190/(원데이터!B190+237.3))</f>
        <v/>
      </c>
      <c r="E190" s="12">
        <f>0.6108*EXP(17.27*원데이터!C190/(원데이터!C190+237.3))</f>
        <v/>
      </c>
      <c r="F190" s="12">
        <f>(D190+E190)/2</f>
        <v/>
      </c>
      <c r="G190" s="12">
        <f>IF(원데이터!H190&lt;&gt;"",원데이터!H190/10,IF(원데이터!I190&lt;&gt;"",0.6108*EXP(17.27*원데이터!I190/(원데이터!I190+237.3)),원데이터!E190/100*F190))</f>
        <v/>
      </c>
      <c r="H190" s="21">
        <f>4098*(0.6108*EXP(17.27*C190/(C190+237.3)))/(C190+237.3)^2</f>
        <v/>
      </c>
      <c r="I190" s="17">
        <f>IF(원데이터!J190&lt;&gt;"",원데이터!J190/10,101.3*((293-0.0065*설정!$B$3)/293)^5.26)</f>
        <v/>
      </c>
      <c r="J190" s="21">
        <f>0.000665*I190</f>
        <v/>
      </c>
      <c r="K190" s="18">
        <f>원데이터!G190*4.87/LN(67.8*설정!$B$4-5.42)</f>
        <v/>
      </c>
      <c r="L190" s="12">
        <f>1+0.033*COS(2*PI()*B190/365)</f>
        <v/>
      </c>
      <c r="M190" s="21">
        <f>0.409*SIN(2*PI()*B190/365-1.39)</f>
        <v/>
      </c>
      <c r="N190" s="21">
        <f>ACOS(-TAN(RADIANS(설정!$B$2))*TAN(M190))</f>
        <v/>
      </c>
      <c r="O190" s="18">
        <f>(24*60/PI())*0.082*L190*(N190*SIN(RADIANS(설정!$B$2))*SIN(M190)+COS(RADIANS(설정!$B$2))*COS(M190)*SIN(N190))</f>
        <v/>
      </c>
      <c r="P190" s="18">
        <f>(0.75+0.00002*설정!$B$3)*O190</f>
        <v/>
      </c>
      <c r="Q190" s="18">
        <f>IF(원데이터!K190&lt;&gt;"",원데이터!K190,(0.25+0.5*원데이터!L190/(24/PI()*N190))*O190)</f>
        <v/>
      </c>
      <c r="R190" s="18">
        <f>0.77*Q190</f>
        <v/>
      </c>
      <c r="S190" s="18">
        <f>0.000000004903*(((원데이터!B190+273.16)^4+(원데이터!C190+273.16)^4)/2)*(0.34-0.14*SQRT(G190))*(1.35*MIN(Q190/P190,1)-0.35)</f>
        <v/>
      </c>
      <c r="T190" s="18">
        <f>R190-S190</f>
        <v/>
      </c>
      <c r="U190" s="18">
        <f>(0.408*H190*T190+J190*(900/(C190+273))*K190*(F190-G190))/(H190+J190*(1+0.34*K190))</f>
        <v/>
      </c>
      <c r="V190" s="11">
        <f>IF(원데이터!A190-설정!$B$16&lt;0,"발아전",IF(원데이터!A190-설정!$B$16&lt;설정!$B$17,"초기",IF(원데이터!A190-설정!$B$16&lt;설정!$B$17+설정!$B$18,"발육",IF(원데이터!A190-설정!$B$16&lt;설정!$B$17+설정!$B$18+설정!$B$19,"중기",IF(원데이터!A190-설정!$B$16&lt;설정!$B$17+설정!$B$18+설정!$B$19+설정!$B$20,"후기","후기이후")))))</f>
        <v/>
      </c>
      <c r="W190" s="12">
        <f>IF(원데이터!A190-설정!$B$16&lt;0,0,IF(원데이터!A190-설정!$B$16&lt;설정!$B$17,설정!$B$33,IF(원데이터!A190-설정!$B$16&lt;설정!$B$17+설정!$B$18,설정!$B$33+(설정!$B$34-설정!$B$33)*(원데이터!A190-설정!$B$16-설정!$B$17+1)/설정!$B$18,IF(원데이터!A190-설정!$B$16&lt;설정!$B$17+설정!$B$18+설정!$B$19,설정!$B$34,IF(원데이터!A190-설정!$B$16&lt;설정!$B$17+설정!$B$18+설정!$B$19+설정!$B$20,설정!$B$34+(설정!$B$35-설정!$B$34)*(원데이터!A190-설정!$B$16-설정!$B$17-설정!$B$18-설정!$B$19+1)/설정!$B$20,0)))))</f>
        <v/>
      </c>
      <c r="X190" s="12">
        <f>0.108-0.0286*K190+0.0422*LN(설정!$B$5)+0.1434*LN(원데이터!E190)-0.000631*LN(설정!$B$5)^2*LN(원데이터!E190)</f>
        <v/>
      </c>
      <c r="Y190" s="17">
        <f>원데이터!M190</f>
        <v/>
      </c>
      <c r="Z190" s="18">
        <f>X190*Y190</f>
        <v/>
      </c>
      <c r="AA190" s="18">
        <f>U190*W190</f>
        <v/>
      </c>
      <c r="AB190" s="18">
        <f>Z190*W190</f>
        <v/>
      </c>
    </row>
    <row r="191">
      <c r="A191" s="15">
        <f>원데이터!A191</f>
        <v/>
      </c>
      <c r="B191" s="14">
        <f>원데이터!A191-DATE(YEAR(원데이터!A191),1,1)+1</f>
        <v/>
      </c>
      <c r="C191" s="17">
        <f>(원데이터!B191+원데이터!C191)/2</f>
        <v/>
      </c>
      <c r="D191" s="12">
        <f>0.6108*EXP(17.27*원데이터!B191/(원데이터!B191+237.3))</f>
        <v/>
      </c>
      <c r="E191" s="12">
        <f>0.6108*EXP(17.27*원데이터!C191/(원데이터!C191+237.3))</f>
        <v/>
      </c>
      <c r="F191" s="12">
        <f>(D191+E191)/2</f>
        <v/>
      </c>
      <c r="G191" s="12">
        <f>IF(원데이터!H191&lt;&gt;"",원데이터!H191/10,IF(원데이터!I191&lt;&gt;"",0.6108*EXP(17.27*원데이터!I191/(원데이터!I191+237.3)),원데이터!E191/100*F191))</f>
        <v/>
      </c>
      <c r="H191" s="21">
        <f>4098*(0.6108*EXP(17.27*C191/(C191+237.3)))/(C191+237.3)^2</f>
        <v/>
      </c>
      <c r="I191" s="17">
        <f>IF(원데이터!J191&lt;&gt;"",원데이터!J191/10,101.3*((293-0.0065*설정!$B$3)/293)^5.26)</f>
        <v/>
      </c>
      <c r="J191" s="21">
        <f>0.000665*I191</f>
        <v/>
      </c>
      <c r="K191" s="18">
        <f>원데이터!G191*4.87/LN(67.8*설정!$B$4-5.42)</f>
        <v/>
      </c>
      <c r="L191" s="12">
        <f>1+0.033*COS(2*PI()*B191/365)</f>
        <v/>
      </c>
      <c r="M191" s="21">
        <f>0.409*SIN(2*PI()*B191/365-1.39)</f>
        <v/>
      </c>
      <c r="N191" s="21">
        <f>ACOS(-TAN(RADIANS(설정!$B$2))*TAN(M191))</f>
        <v/>
      </c>
      <c r="O191" s="18">
        <f>(24*60/PI())*0.082*L191*(N191*SIN(RADIANS(설정!$B$2))*SIN(M191)+COS(RADIANS(설정!$B$2))*COS(M191)*SIN(N191))</f>
        <v/>
      </c>
      <c r="P191" s="18">
        <f>(0.75+0.00002*설정!$B$3)*O191</f>
        <v/>
      </c>
      <c r="Q191" s="18">
        <f>IF(원데이터!K191&lt;&gt;"",원데이터!K191,(0.25+0.5*원데이터!L191/(24/PI()*N191))*O191)</f>
        <v/>
      </c>
      <c r="R191" s="18">
        <f>0.77*Q191</f>
        <v/>
      </c>
      <c r="S191" s="18">
        <f>0.000000004903*(((원데이터!B191+273.16)^4+(원데이터!C191+273.16)^4)/2)*(0.34-0.14*SQRT(G191))*(1.35*MIN(Q191/P191,1)-0.35)</f>
        <v/>
      </c>
      <c r="T191" s="18">
        <f>R191-S191</f>
        <v/>
      </c>
      <c r="U191" s="18">
        <f>(0.408*H191*T191+J191*(900/(C191+273))*K191*(F191-G191))/(H191+J191*(1+0.34*K191))</f>
        <v/>
      </c>
      <c r="V191" s="11">
        <f>IF(원데이터!A191-설정!$B$16&lt;0,"발아전",IF(원데이터!A191-설정!$B$16&lt;설정!$B$17,"초기",IF(원데이터!A191-설정!$B$16&lt;설정!$B$17+설정!$B$18,"발육",IF(원데이터!A191-설정!$B$16&lt;설정!$B$17+설정!$B$18+설정!$B$19,"중기",IF(원데이터!A191-설정!$B$16&lt;설정!$B$17+설정!$B$18+설정!$B$19+설정!$B$20,"후기","후기이후")))))</f>
        <v/>
      </c>
      <c r="W191" s="12">
        <f>IF(원데이터!A191-설정!$B$16&lt;0,0,IF(원데이터!A191-설정!$B$16&lt;설정!$B$17,설정!$B$33,IF(원데이터!A191-설정!$B$16&lt;설정!$B$17+설정!$B$18,설정!$B$33+(설정!$B$34-설정!$B$33)*(원데이터!A191-설정!$B$16-설정!$B$17+1)/설정!$B$18,IF(원데이터!A191-설정!$B$16&lt;설정!$B$17+설정!$B$18+설정!$B$19,설정!$B$34,IF(원데이터!A191-설정!$B$16&lt;설정!$B$17+설정!$B$18+설정!$B$19+설정!$B$20,설정!$B$34+(설정!$B$35-설정!$B$34)*(원데이터!A191-설정!$B$16-설정!$B$17-설정!$B$18-설정!$B$19+1)/설정!$B$20,0)))))</f>
        <v/>
      </c>
      <c r="X191" s="12">
        <f>0.108-0.0286*K191+0.0422*LN(설정!$B$5)+0.1434*LN(원데이터!E191)-0.000631*LN(설정!$B$5)^2*LN(원데이터!E191)</f>
        <v/>
      </c>
      <c r="Y191" s="17">
        <f>원데이터!M191</f>
        <v/>
      </c>
      <c r="Z191" s="18">
        <f>X191*Y191</f>
        <v/>
      </c>
      <c r="AA191" s="18">
        <f>U191*W191</f>
        <v/>
      </c>
      <c r="AB191" s="18">
        <f>Z191*W191</f>
        <v/>
      </c>
    </row>
    <row r="192">
      <c r="A192" s="15">
        <f>원데이터!A192</f>
        <v/>
      </c>
      <c r="B192" s="14">
        <f>원데이터!A192-DATE(YEAR(원데이터!A192),1,1)+1</f>
        <v/>
      </c>
      <c r="C192" s="17">
        <f>(원데이터!B192+원데이터!C192)/2</f>
        <v/>
      </c>
      <c r="D192" s="12">
        <f>0.6108*EXP(17.27*원데이터!B192/(원데이터!B192+237.3))</f>
        <v/>
      </c>
      <c r="E192" s="12">
        <f>0.6108*EXP(17.27*원데이터!C192/(원데이터!C192+237.3))</f>
        <v/>
      </c>
      <c r="F192" s="12">
        <f>(D192+E192)/2</f>
        <v/>
      </c>
      <c r="G192" s="12">
        <f>IF(원데이터!H192&lt;&gt;"",원데이터!H192/10,IF(원데이터!I192&lt;&gt;"",0.6108*EXP(17.27*원데이터!I192/(원데이터!I192+237.3)),원데이터!E192/100*F192))</f>
        <v/>
      </c>
      <c r="H192" s="21">
        <f>4098*(0.6108*EXP(17.27*C192/(C192+237.3)))/(C192+237.3)^2</f>
        <v/>
      </c>
      <c r="I192" s="17">
        <f>IF(원데이터!J192&lt;&gt;"",원데이터!J192/10,101.3*((293-0.0065*설정!$B$3)/293)^5.26)</f>
        <v/>
      </c>
      <c r="J192" s="21">
        <f>0.000665*I192</f>
        <v/>
      </c>
      <c r="K192" s="18">
        <f>원데이터!G192*4.87/LN(67.8*설정!$B$4-5.42)</f>
        <v/>
      </c>
      <c r="L192" s="12">
        <f>1+0.033*COS(2*PI()*B192/365)</f>
        <v/>
      </c>
      <c r="M192" s="21">
        <f>0.409*SIN(2*PI()*B192/365-1.39)</f>
        <v/>
      </c>
      <c r="N192" s="21">
        <f>ACOS(-TAN(RADIANS(설정!$B$2))*TAN(M192))</f>
        <v/>
      </c>
      <c r="O192" s="18">
        <f>(24*60/PI())*0.082*L192*(N192*SIN(RADIANS(설정!$B$2))*SIN(M192)+COS(RADIANS(설정!$B$2))*COS(M192)*SIN(N192))</f>
        <v/>
      </c>
      <c r="P192" s="18">
        <f>(0.75+0.00002*설정!$B$3)*O192</f>
        <v/>
      </c>
      <c r="Q192" s="18">
        <f>IF(원데이터!K192&lt;&gt;"",원데이터!K192,(0.25+0.5*원데이터!L192/(24/PI()*N192))*O192)</f>
        <v/>
      </c>
      <c r="R192" s="18">
        <f>0.77*Q192</f>
        <v/>
      </c>
      <c r="S192" s="18">
        <f>0.000000004903*(((원데이터!B192+273.16)^4+(원데이터!C192+273.16)^4)/2)*(0.34-0.14*SQRT(G192))*(1.35*MIN(Q192/P192,1)-0.35)</f>
        <v/>
      </c>
      <c r="T192" s="18">
        <f>R192-S192</f>
        <v/>
      </c>
      <c r="U192" s="18">
        <f>(0.408*H192*T192+J192*(900/(C192+273))*K192*(F192-G192))/(H192+J192*(1+0.34*K192))</f>
        <v/>
      </c>
      <c r="V192" s="11">
        <f>IF(원데이터!A192-설정!$B$16&lt;0,"발아전",IF(원데이터!A192-설정!$B$16&lt;설정!$B$17,"초기",IF(원데이터!A192-설정!$B$16&lt;설정!$B$17+설정!$B$18,"발육",IF(원데이터!A192-설정!$B$16&lt;설정!$B$17+설정!$B$18+설정!$B$19,"중기",IF(원데이터!A192-설정!$B$16&lt;설정!$B$17+설정!$B$18+설정!$B$19+설정!$B$20,"후기","후기이후")))))</f>
        <v/>
      </c>
      <c r="W192" s="12">
        <f>IF(원데이터!A192-설정!$B$16&lt;0,0,IF(원데이터!A192-설정!$B$16&lt;설정!$B$17,설정!$B$33,IF(원데이터!A192-설정!$B$16&lt;설정!$B$17+설정!$B$18,설정!$B$33+(설정!$B$34-설정!$B$33)*(원데이터!A192-설정!$B$16-설정!$B$17+1)/설정!$B$18,IF(원데이터!A192-설정!$B$16&lt;설정!$B$17+설정!$B$18+설정!$B$19,설정!$B$34,IF(원데이터!A192-설정!$B$16&lt;설정!$B$17+설정!$B$18+설정!$B$19+설정!$B$20,설정!$B$34+(설정!$B$35-설정!$B$34)*(원데이터!A192-설정!$B$16-설정!$B$17-설정!$B$18-설정!$B$19+1)/설정!$B$20,0)))))</f>
        <v/>
      </c>
      <c r="X192" s="12">
        <f>0.108-0.0286*K192+0.0422*LN(설정!$B$5)+0.1434*LN(원데이터!E192)-0.000631*LN(설정!$B$5)^2*LN(원데이터!E192)</f>
        <v/>
      </c>
      <c r="Y192" s="17">
        <f>원데이터!M192</f>
        <v/>
      </c>
      <c r="Z192" s="18">
        <f>X192*Y192</f>
        <v/>
      </c>
      <c r="AA192" s="18">
        <f>U192*W192</f>
        <v/>
      </c>
      <c r="AB192" s="18">
        <f>Z192*W192</f>
        <v/>
      </c>
    </row>
    <row r="193">
      <c r="A193" s="15">
        <f>원데이터!A193</f>
        <v/>
      </c>
      <c r="B193" s="14">
        <f>원데이터!A193-DATE(YEAR(원데이터!A193),1,1)+1</f>
        <v/>
      </c>
      <c r="C193" s="17">
        <f>(원데이터!B193+원데이터!C193)/2</f>
        <v/>
      </c>
      <c r="D193" s="12">
        <f>0.6108*EXP(17.27*원데이터!B193/(원데이터!B193+237.3))</f>
        <v/>
      </c>
      <c r="E193" s="12">
        <f>0.6108*EXP(17.27*원데이터!C193/(원데이터!C193+237.3))</f>
        <v/>
      </c>
      <c r="F193" s="12">
        <f>(D193+E193)/2</f>
        <v/>
      </c>
      <c r="G193" s="12">
        <f>IF(원데이터!H193&lt;&gt;"",원데이터!H193/10,IF(원데이터!I193&lt;&gt;"",0.6108*EXP(17.27*원데이터!I193/(원데이터!I193+237.3)),원데이터!E193/100*F193))</f>
        <v/>
      </c>
      <c r="H193" s="21">
        <f>4098*(0.6108*EXP(17.27*C193/(C193+237.3)))/(C193+237.3)^2</f>
        <v/>
      </c>
      <c r="I193" s="17">
        <f>IF(원데이터!J193&lt;&gt;"",원데이터!J193/10,101.3*((293-0.0065*설정!$B$3)/293)^5.26)</f>
        <v/>
      </c>
      <c r="J193" s="21">
        <f>0.000665*I193</f>
        <v/>
      </c>
      <c r="K193" s="18">
        <f>원데이터!G193*4.87/LN(67.8*설정!$B$4-5.42)</f>
        <v/>
      </c>
      <c r="L193" s="12">
        <f>1+0.033*COS(2*PI()*B193/365)</f>
        <v/>
      </c>
      <c r="M193" s="21">
        <f>0.409*SIN(2*PI()*B193/365-1.39)</f>
        <v/>
      </c>
      <c r="N193" s="21">
        <f>ACOS(-TAN(RADIANS(설정!$B$2))*TAN(M193))</f>
        <v/>
      </c>
      <c r="O193" s="18">
        <f>(24*60/PI())*0.082*L193*(N193*SIN(RADIANS(설정!$B$2))*SIN(M193)+COS(RADIANS(설정!$B$2))*COS(M193)*SIN(N193))</f>
        <v/>
      </c>
      <c r="P193" s="18">
        <f>(0.75+0.00002*설정!$B$3)*O193</f>
        <v/>
      </c>
      <c r="Q193" s="18">
        <f>IF(원데이터!K193&lt;&gt;"",원데이터!K193,(0.25+0.5*원데이터!L193/(24/PI()*N193))*O193)</f>
        <v/>
      </c>
      <c r="R193" s="18">
        <f>0.77*Q193</f>
        <v/>
      </c>
      <c r="S193" s="18">
        <f>0.000000004903*(((원데이터!B193+273.16)^4+(원데이터!C193+273.16)^4)/2)*(0.34-0.14*SQRT(G193))*(1.35*MIN(Q193/P193,1)-0.35)</f>
        <v/>
      </c>
      <c r="T193" s="18">
        <f>R193-S193</f>
        <v/>
      </c>
      <c r="U193" s="18">
        <f>(0.408*H193*T193+J193*(900/(C193+273))*K193*(F193-G193))/(H193+J193*(1+0.34*K193))</f>
        <v/>
      </c>
      <c r="V193" s="11">
        <f>IF(원데이터!A193-설정!$B$16&lt;0,"발아전",IF(원데이터!A193-설정!$B$16&lt;설정!$B$17,"초기",IF(원데이터!A193-설정!$B$16&lt;설정!$B$17+설정!$B$18,"발육",IF(원데이터!A193-설정!$B$16&lt;설정!$B$17+설정!$B$18+설정!$B$19,"중기",IF(원데이터!A193-설정!$B$16&lt;설정!$B$17+설정!$B$18+설정!$B$19+설정!$B$20,"후기","후기이후")))))</f>
        <v/>
      </c>
      <c r="W193" s="12">
        <f>IF(원데이터!A193-설정!$B$16&lt;0,0,IF(원데이터!A193-설정!$B$16&lt;설정!$B$17,설정!$B$33,IF(원데이터!A193-설정!$B$16&lt;설정!$B$17+설정!$B$18,설정!$B$33+(설정!$B$34-설정!$B$33)*(원데이터!A193-설정!$B$16-설정!$B$17+1)/설정!$B$18,IF(원데이터!A193-설정!$B$16&lt;설정!$B$17+설정!$B$18+설정!$B$19,설정!$B$34,IF(원데이터!A193-설정!$B$16&lt;설정!$B$17+설정!$B$18+설정!$B$19+설정!$B$20,설정!$B$34+(설정!$B$35-설정!$B$34)*(원데이터!A193-설정!$B$16-설정!$B$17-설정!$B$18-설정!$B$19+1)/설정!$B$20,0)))))</f>
        <v/>
      </c>
      <c r="X193" s="12">
        <f>0.108-0.0286*K193+0.0422*LN(설정!$B$5)+0.1434*LN(원데이터!E193)-0.000631*LN(설정!$B$5)^2*LN(원데이터!E193)</f>
        <v/>
      </c>
      <c r="Y193" s="17">
        <f>원데이터!M193</f>
        <v/>
      </c>
      <c r="Z193" s="18">
        <f>X193*Y193</f>
        <v/>
      </c>
      <c r="AA193" s="18">
        <f>U193*W193</f>
        <v/>
      </c>
      <c r="AB193" s="18">
        <f>Z193*W193</f>
        <v/>
      </c>
    </row>
    <row r="194">
      <c r="A194" s="15">
        <f>원데이터!A194</f>
        <v/>
      </c>
      <c r="B194" s="14">
        <f>원데이터!A194-DATE(YEAR(원데이터!A194),1,1)+1</f>
        <v/>
      </c>
      <c r="C194" s="17">
        <f>(원데이터!B194+원데이터!C194)/2</f>
        <v/>
      </c>
      <c r="D194" s="12">
        <f>0.6108*EXP(17.27*원데이터!B194/(원데이터!B194+237.3))</f>
        <v/>
      </c>
      <c r="E194" s="12">
        <f>0.6108*EXP(17.27*원데이터!C194/(원데이터!C194+237.3))</f>
        <v/>
      </c>
      <c r="F194" s="12">
        <f>(D194+E194)/2</f>
        <v/>
      </c>
      <c r="G194" s="12">
        <f>IF(원데이터!H194&lt;&gt;"",원데이터!H194/10,IF(원데이터!I194&lt;&gt;"",0.6108*EXP(17.27*원데이터!I194/(원데이터!I194+237.3)),원데이터!E194/100*F194))</f>
        <v/>
      </c>
      <c r="H194" s="21">
        <f>4098*(0.6108*EXP(17.27*C194/(C194+237.3)))/(C194+237.3)^2</f>
        <v/>
      </c>
      <c r="I194" s="17">
        <f>IF(원데이터!J194&lt;&gt;"",원데이터!J194/10,101.3*((293-0.0065*설정!$B$3)/293)^5.26)</f>
        <v/>
      </c>
      <c r="J194" s="21">
        <f>0.000665*I194</f>
        <v/>
      </c>
      <c r="K194" s="18">
        <f>원데이터!G194*4.87/LN(67.8*설정!$B$4-5.42)</f>
        <v/>
      </c>
      <c r="L194" s="12">
        <f>1+0.033*COS(2*PI()*B194/365)</f>
        <v/>
      </c>
      <c r="M194" s="21">
        <f>0.409*SIN(2*PI()*B194/365-1.39)</f>
        <v/>
      </c>
      <c r="N194" s="21">
        <f>ACOS(-TAN(RADIANS(설정!$B$2))*TAN(M194))</f>
        <v/>
      </c>
      <c r="O194" s="18">
        <f>(24*60/PI())*0.082*L194*(N194*SIN(RADIANS(설정!$B$2))*SIN(M194)+COS(RADIANS(설정!$B$2))*COS(M194)*SIN(N194))</f>
        <v/>
      </c>
      <c r="P194" s="18">
        <f>(0.75+0.00002*설정!$B$3)*O194</f>
        <v/>
      </c>
      <c r="Q194" s="18">
        <f>IF(원데이터!K194&lt;&gt;"",원데이터!K194,(0.25+0.5*원데이터!L194/(24/PI()*N194))*O194)</f>
        <v/>
      </c>
      <c r="R194" s="18">
        <f>0.77*Q194</f>
        <v/>
      </c>
      <c r="S194" s="18">
        <f>0.000000004903*(((원데이터!B194+273.16)^4+(원데이터!C194+273.16)^4)/2)*(0.34-0.14*SQRT(G194))*(1.35*MIN(Q194/P194,1)-0.35)</f>
        <v/>
      </c>
      <c r="T194" s="18">
        <f>R194-S194</f>
        <v/>
      </c>
      <c r="U194" s="18">
        <f>(0.408*H194*T194+J194*(900/(C194+273))*K194*(F194-G194))/(H194+J194*(1+0.34*K194))</f>
        <v/>
      </c>
      <c r="V194" s="11">
        <f>IF(원데이터!A194-설정!$B$16&lt;0,"발아전",IF(원데이터!A194-설정!$B$16&lt;설정!$B$17,"초기",IF(원데이터!A194-설정!$B$16&lt;설정!$B$17+설정!$B$18,"발육",IF(원데이터!A194-설정!$B$16&lt;설정!$B$17+설정!$B$18+설정!$B$19,"중기",IF(원데이터!A194-설정!$B$16&lt;설정!$B$17+설정!$B$18+설정!$B$19+설정!$B$20,"후기","후기이후")))))</f>
        <v/>
      </c>
      <c r="W194" s="12">
        <f>IF(원데이터!A194-설정!$B$16&lt;0,0,IF(원데이터!A194-설정!$B$16&lt;설정!$B$17,설정!$B$33,IF(원데이터!A194-설정!$B$16&lt;설정!$B$17+설정!$B$18,설정!$B$33+(설정!$B$34-설정!$B$33)*(원데이터!A194-설정!$B$16-설정!$B$17+1)/설정!$B$18,IF(원데이터!A194-설정!$B$16&lt;설정!$B$17+설정!$B$18+설정!$B$19,설정!$B$34,IF(원데이터!A194-설정!$B$16&lt;설정!$B$17+설정!$B$18+설정!$B$19+설정!$B$20,설정!$B$34+(설정!$B$35-설정!$B$34)*(원데이터!A194-설정!$B$16-설정!$B$17-설정!$B$18-설정!$B$19+1)/설정!$B$20,0)))))</f>
        <v/>
      </c>
      <c r="X194" s="12">
        <f>0.108-0.0286*K194+0.0422*LN(설정!$B$5)+0.1434*LN(원데이터!E194)-0.000631*LN(설정!$B$5)^2*LN(원데이터!E194)</f>
        <v/>
      </c>
      <c r="Y194" s="17">
        <f>원데이터!M194</f>
        <v/>
      </c>
      <c r="Z194" s="18">
        <f>X194*Y194</f>
        <v/>
      </c>
      <c r="AA194" s="18">
        <f>U194*W194</f>
        <v/>
      </c>
      <c r="AB194" s="18">
        <f>Z194*W194</f>
        <v/>
      </c>
    </row>
    <row r="195">
      <c r="A195" s="15">
        <f>원데이터!A195</f>
        <v/>
      </c>
      <c r="B195" s="14">
        <f>원데이터!A195-DATE(YEAR(원데이터!A195),1,1)+1</f>
        <v/>
      </c>
      <c r="C195" s="17">
        <f>(원데이터!B195+원데이터!C195)/2</f>
        <v/>
      </c>
      <c r="D195" s="12">
        <f>0.6108*EXP(17.27*원데이터!B195/(원데이터!B195+237.3))</f>
        <v/>
      </c>
      <c r="E195" s="12">
        <f>0.6108*EXP(17.27*원데이터!C195/(원데이터!C195+237.3))</f>
        <v/>
      </c>
      <c r="F195" s="12">
        <f>(D195+E195)/2</f>
        <v/>
      </c>
      <c r="G195" s="12">
        <f>IF(원데이터!H195&lt;&gt;"",원데이터!H195/10,IF(원데이터!I195&lt;&gt;"",0.6108*EXP(17.27*원데이터!I195/(원데이터!I195+237.3)),원데이터!E195/100*F195))</f>
        <v/>
      </c>
      <c r="H195" s="21">
        <f>4098*(0.6108*EXP(17.27*C195/(C195+237.3)))/(C195+237.3)^2</f>
        <v/>
      </c>
      <c r="I195" s="17">
        <f>IF(원데이터!J195&lt;&gt;"",원데이터!J195/10,101.3*((293-0.0065*설정!$B$3)/293)^5.26)</f>
        <v/>
      </c>
      <c r="J195" s="21">
        <f>0.000665*I195</f>
        <v/>
      </c>
      <c r="K195" s="18">
        <f>원데이터!G195*4.87/LN(67.8*설정!$B$4-5.42)</f>
        <v/>
      </c>
      <c r="L195" s="12">
        <f>1+0.033*COS(2*PI()*B195/365)</f>
        <v/>
      </c>
      <c r="M195" s="21">
        <f>0.409*SIN(2*PI()*B195/365-1.39)</f>
        <v/>
      </c>
      <c r="N195" s="21">
        <f>ACOS(-TAN(RADIANS(설정!$B$2))*TAN(M195))</f>
        <v/>
      </c>
      <c r="O195" s="18">
        <f>(24*60/PI())*0.082*L195*(N195*SIN(RADIANS(설정!$B$2))*SIN(M195)+COS(RADIANS(설정!$B$2))*COS(M195)*SIN(N195))</f>
        <v/>
      </c>
      <c r="P195" s="18">
        <f>(0.75+0.00002*설정!$B$3)*O195</f>
        <v/>
      </c>
      <c r="Q195" s="18">
        <f>IF(원데이터!K195&lt;&gt;"",원데이터!K195,(0.25+0.5*원데이터!L195/(24/PI()*N195))*O195)</f>
        <v/>
      </c>
      <c r="R195" s="18">
        <f>0.77*Q195</f>
        <v/>
      </c>
      <c r="S195" s="18">
        <f>0.000000004903*(((원데이터!B195+273.16)^4+(원데이터!C195+273.16)^4)/2)*(0.34-0.14*SQRT(G195))*(1.35*MIN(Q195/P195,1)-0.35)</f>
        <v/>
      </c>
      <c r="T195" s="18">
        <f>R195-S195</f>
        <v/>
      </c>
      <c r="U195" s="18">
        <f>(0.408*H195*T195+J195*(900/(C195+273))*K195*(F195-G195))/(H195+J195*(1+0.34*K195))</f>
        <v/>
      </c>
      <c r="V195" s="11">
        <f>IF(원데이터!A195-설정!$B$16&lt;0,"발아전",IF(원데이터!A195-설정!$B$16&lt;설정!$B$17,"초기",IF(원데이터!A195-설정!$B$16&lt;설정!$B$17+설정!$B$18,"발육",IF(원데이터!A195-설정!$B$16&lt;설정!$B$17+설정!$B$18+설정!$B$19,"중기",IF(원데이터!A195-설정!$B$16&lt;설정!$B$17+설정!$B$18+설정!$B$19+설정!$B$20,"후기","후기이후")))))</f>
        <v/>
      </c>
      <c r="W195" s="12">
        <f>IF(원데이터!A195-설정!$B$16&lt;0,0,IF(원데이터!A195-설정!$B$16&lt;설정!$B$17,설정!$B$33,IF(원데이터!A195-설정!$B$16&lt;설정!$B$17+설정!$B$18,설정!$B$33+(설정!$B$34-설정!$B$33)*(원데이터!A195-설정!$B$16-설정!$B$17+1)/설정!$B$18,IF(원데이터!A195-설정!$B$16&lt;설정!$B$17+설정!$B$18+설정!$B$19,설정!$B$34,IF(원데이터!A195-설정!$B$16&lt;설정!$B$17+설정!$B$18+설정!$B$19+설정!$B$20,설정!$B$34+(설정!$B$35-설정!$B$34)*(원데이터!A195-설정!$B$16-설정!$B$17-설정!$B$18-설정!$B$19+1)/설정!$B$20,0)))))</f>
        <v/>
      </c>
      <c r="X195" s="12">
        <f>0.108-0.0286*K195+0.0422*LN(설정!$B$5)+0.1434*LN(원데이터!E195)-0.000631*LN(설정!$B$5)^2*LN(원데이터!E195)</f>
        <v/>
      </c>
      <c r="Y195" s="17">
        <f>원데이터!M195</f>
        <v/>
      </c>
      <c r="Z195" s="18">
        <f>X195*Y195</f>
        <v/>
      </c>
      <c r="AA195" s="18">
        <f>U195*W195</f>
        <v/>
      </c>
      <c r="AB195" s="18">
        <f>Z195*W195</f>
        <v/>
      </c>
    </row>
    <row r="196">
      <c r="A196" s="15">
        <f>원데이터!A196</f>
        <v/>
      </c>
      <c r="B196" s="14">
        <f>원데이터!A196-DATE(YEAR(원데이터!A196),1,1)+1</f>
        <v/>
      </c>
      <c r="C196" s="17">
        <f>(원데이터!B196+원데이터!C196)/2</f>
        <v/>
      </c>
      <c r="D196" s="12">
        <f>0.6108*EXP(17.27*원데이터!B196/(원데이터!B196+237.3))</f>
        <v/>
      </c>
      <c r="E196" s="12">
        <f>0.6108*EXP(17.27*원데이터!C196/(원데이터!C196+237.3))</f>
        <v/>
      </c>
      <c r="F196" s="12">
        <f>(D196+E196)/2</f>
        <v/>
      </c>
      <c r="G196" s="12">
        <f>IF(원데이터!H196&lt;&gt;"",원데이터!H196/10,IF(원데이터!I196&lt;&gt;"",0.6108*EXP(17.27*원데이터!I196/(원데이터!I196+237.3)),원데이터!E196/100*F196))</f>
        <v/>
      </c>
      <c r="H196" s="21">
        <f>4098*(0.6108*EXP(17.27*C196/(C196+237.3)))/(C196+237.3)^2</f>
        <v/>
      </c>
      <c r="I196" s="17">
        <f>IF(원데이터!J196&lt;&gt;"",원데이터!J196/10,101.3*((293-0.0065*설정!$B$3)/293)^5.26)</f>
        <v/>
      </c>
      <c r="J196" s="21">
        <f>0.000665*I196</f>
        <v/>
      </c>
      <c r="K196" s="18">
        <f>원데이터!G196*4.87/LN(67.8*설정!$B$4-5.42)</f>
        <v/>
      </c>
      <c r="L196" s="12">
        <f>1+0.033*COS(2*PI()*B196/365)</f>
        <v/>
      </c>
      <c r="M196" s="21">
        <f>0.409*SIN(2*PI()*B196/365-1.39)</f>
        <v/>
      </c>
      <c r="N196" s="21">
        <f>ACOS(-TAN(RADIANS(설정!$B$2))*TAN(M196))</f>
        <v/>
      </c>
      <c r="O196" s="18">
        <f>(24*60/PI())*0.082*L196*(N196*SIN(RADIANS(설정!$B$2))*SIN(M196)+COS(RADIANS(설정!$B$2))*COS(M196)*SIN(N196))</f>
        <v/>
      </c>
      <c r="P196" s="18">
        <f>(0.75+0.00002*설정!$B$3)*O196</f>
        <v/>
      </c>
      <c r="Q196" s="18">
        <f>IF(원데이터!K196&lt;&gt;"",원데이터!K196,(0.25+0.5*원데이터!L196/(24/PI()*N196))*O196)</f>
        <v/>
      </c>
      <c r="R196" s="18">
        <f>0.77*Q196</f>
        <v/>
      </c>
      <c r="S196" s="18">
        <f>0.000000004903*(((원데이터!B196+273.16)^4+(원데이터!C196+273.16)^4)/2)*(0.34-0.14*SQRT(G196))*(1.35*MIN(Q196/P196,1)-0.35)</f>
        <v/>
      </c>
      <c r="T196" s="18">
        <f>R196-S196</f>
        <v/>
      </c>
      <c r="U196" s="18">
        <f>(0.408*H196*T196+J196*(900/(C196+273))*K196*(F196-G196))/(H196+J196*(1+0.34*K196))</f>
        <v/>
      </c>
      <c r="V196" s="11">
        <f>IF(원데이터!A196-설정!$B$16&lt;0,"발아전",IF(원데이터!A196-설정!$B$16&lt;설정!$B$17,"초기",IF(원데이터!A196-설정!$B$16&lt;설정!$B$17+설정!$B$18,"발육",IF(원데이터!A196-설정!$B$16&lt;설정!$B$17+설정!$B$18+설정!$B$19,"중기",IF(원데이터!A196-설정!$B$16&lt;설정!$B$17+설정!$B$18+설정!$B$19+설정!$B$20,"후기","후기이후")))))</f>
        <v/>
      </c>
      <c r="W196" s="12">
        <f>IF(원데이터!A196-설정!$B$16&lt;0,0,IF(원데이터!A196-설정!$B$16&lt;설정!$B$17,설정!$B$33,IF(원데이터!A196-설정!$B$16&lt;설정!$B$17+설정!$B$18,설정!$B$33+(설정!$B$34-설정!$B$33)*(원데이터!A196-설정!$B$16-설정!$B$17+1)/설정!$B$18,IF(원데이터!A196-설정!$B$16&lt;설정!$B$17+설정!$B$18+설정!$B$19,설정!$B$34,IF(원데이터!A196-설정!$B$16&lt;설정!$B$17+설정!$B$18+설정!$B$19+설정!$B$20,설정!$B$34+(설정!$B$35-설정!$B$34)*(원데이터!A196-설정!$B$16-설정!$B$17-설정!$B$18-설정!$B$19+1)/설정!$B$20,0)))))</f>
        <v/>
      </c>
      <c r="X196" s="12">
        <f>0.108-0.0286*K196+0.0422*LN(설정!$B$5)+0.1434*LN(원데이터!E196)-0.000631*LN(설정!$B$5)^2*LN(원데이터!E196)</f>
        <v/>
      </c>
      <c r="Y196" s="17">
        <f>원데이터!M196</f>
        <v/>
      </c>
      <c r="Z196" s="18">
        <f>X196*Y196</f>
        <v/>
      </c>
      <c r="AA196" s="18">
        <f>U196*W196</f>
        <v/>
      </c>
      <c r="AB196" s="18">
        <f>Z196*W196</f>
        <v/>
      </c>
    </row>
    <row r="197">
      <c r="A197" s="15">
        <f>원데이터!A197</f>
        <v/>
      </c>
      <c r="B197" s="14">
        <f>원데이터!A197-DATE(YEAR(원데이터!A197),1,1)+1</f>
        <v/>
      </c>
      <c r="C197" s="17">
        <f>(원데이터!B197+원데이터!C197)/2</f>
        <v/>
      </c>
      <c r="D197" s="12">
        <f>0.6108*EXP(17.27*원데이터!B197/(원데이터!B197+237.3))</f>
        <v/>
      </c>
      <c r="E197" s="12">
        <f>0.6108*EXP(17.27*원데이터!C197/(원데이터!C197+237.3))</f>
        <v/>
      </c>
      <c r="F197" s="12">
        <f>(D197+E197)/2</f>
        <v/>
      </c>
      <c r="G197" s="12">
        <f>IF(원데이터!H197&lt;&gt;"",원데이터!H197/10,IF(원데이터!I197&lt;&gt;"",0.6108*EXP(17.27*원데이터!I197/(원데이터!I197+237.3)),원데이터!E197/100*F197))</f>
        <v/>
      </c>
      <c r="H197" s="21">
        <f>4098*(0.6108*EXP(17.27*C197/(C197+237.3)))/(C197+237.3)^2</f>
        <v/>
      </c>
      <c r="I197" s="17">
        <f>IF(원데이터!J197&lt;&gt;"",원데이터!J197/10,101.3*((293-0.0065*설정!$B$3)/293)^5.26)</f>
        <v/>
      </c>
      <c r="J197" s="21">
        <f>0.000665*I197</f>
        <v/>
      </c>
      <c r="K197" s="18">
        <f>원데이터!G197*4.87/LN(67.8*설정!$B$4-5.42)</f>
        <v/>
      </c>
      <c r="L197" s="12">
        <f>1+0.033*COS(2*PI()*B197/365)</f>
        <v/>
      </c>
      <c r="M197" s="21">
        <f>0.409*SIN(2*PI()*B197/365-1.39)</f>
        <v/>
      </c>
      <c r="N197" s="21">
        <f>ACOS(-TAN(RADIANS(설정!$B$2))*TAN(M197))</f>
        <v/>
      </c>
      <c r="O197" s="18">
        <f>(24*60/PI())*0.082*L197*(N197*SIN(RADIANS(설정!$B$2))*SIN(M197)+COS(RADIANS(설정!$B$2))*COS(M197)*SIN(N197))</f>
        <v/>
      </c>
      <c r="P197" s="18">
        <f>(0.75+0.00002*설정!$B$3)*O197</f>
        <v/>
      </c>
      <c r="Q197" s="18">
        <f>IF(원데이터!K197&lt;&gt;"",원데이터!K197,(0.25+0.5*원데이터!L197/(24/PI()*N197))*O197)</f>
        <v/>
      </c>
      <c r="R197" s="18">
        <f>0.77*Q197</f>
        <v/>
      </c>
      <c r="S197" s="18">
        <f>0.000000004903*(((원데이터!B197+273.16)^4+(원데이터!C197+273.16)^4)/2)*(0.34-0.14*SQRT(G197))*(1.35*MIN(Q197/P197,1)-0.35)</f>
        <v/>
      </c>
      <c r="T197" s="18">
        <f>R197-S197</f>
        <v/>
      </c>
      <c r="U197" s="18">
        <f>(0.408*H197*T197+J197*(900/(C197+273))*K197*(F197-G197))/(H197+J197*(1+0.34*K197))</f>
        <v/>
      </c>
      <c r="V197" s="11">
        <f>IF(원데이터!A197-설정!$B$16&lt;0,"발아전",IF(원데이터!A197-설정!$B$16&lt;설정!$B$17,"초기",IF(원데이터!A197-설정!$B$16&lt;설정!$B$17+설정!$B$18,"발육",IF(원데이터!A197-설정!$B$16&lt;설정!$B$17+설정!$B$18+설정!$B$19,"중기",IF(원데이터!A197-설정!$B$16&lt;설정!$B$17+설정!$B$18+설정!$B$19+설정!$B$20,"후기","후기이후")))))</f>
        <v/>
      </c>
      <c r="W197" s="12">
        <f>IF(원데이터!A197-설정!$B$16&lt;0,0,IF(원데이터!A197-설정!$B$16&lt;설정!$B$17,설정!$B$33,IF(원데이터!A197-설정!$B$16&lt;설정!$B$17+설정!$B$18,설정!$B$33+(설정!$B$34-설정!$B$33)*(원데이터!A197-설정!$B$16-설정!$B$17+1)/설정!$B$18,IF(원데이터!A197-설정!$B$16&lt;설정!$B$17+설정!$B$18+설정!$B$19,설정!$B$34,IF(원데이터!A197-설정!$B$16&lt;설정!$B$17+설정!$B$18+설정!$B$19+설정!$B$20,설정!$B$34+(설정!$B$35-설정!$B$34)*(원데이터!A197-설정!$B$16-설정!$B$17-설정!$B$18-설정!$B$19+1)/설정!$B$20,0)))))</f>
        <v/>
      </c>
      <c r="X197" s="12">
        <f>0.108-0.0286*K197+0.0422*LN(설정!$B$5)+0.1434*LN(원데이터!E197)-0.000631*LN(설정!$B$5)^2*LN(원데이터!E197)</f>
        <v/>
      </c>
      <c r="Y197" s="17">
        <f>원데이터!M197</f>
        <v/>
      </c>
      <c r="Z197" s="18">
        <f>X197*Y197</f>
        <v/>
      </c>
      <c r="AA197" s="18">
        <f>U197*W197</f>
        <v/>
      </c>
      <c r="AB197" s="18">
        <f>Z197*W197</f>
        <v/>
      </c>
    </row>
    <row r="198">
      <c r="A198" s="15">
        <f>원데이터!A198</f>
        <v/>
      </c>
      <c r="B198" s="14">
        <f>원데이터!A198-DATE(YEAR(원데이터!A198),1,1)+1</f>
        <v/>
      </c>
      <c r="C198" s="17">
        <f>(원데이터!B198+원데이터!C198)/2</f>
        <v/>
      </c>
      <c r="D198" s="12">
        <f>0.6108*EXP(17.27*원데이터!B198/(원데이터!B198+237.3))</f>
        <v/>
      </c>
      <c r="E198" s="12">
        <f>0.6108*EXP(17.27*원데이터!C198/(원데이터!C198+237.3))</f>
        <v/>
      </c>
      <c r="F198" s="12">
        <f>(D198+E198)/2</f>
        <v/>
      </c>
      <c r="G198" s="12">
        <f>IF(원데이터!H198&lt;&gt;"",원데이터!H198/10,IF(원데이터!I198&lt;&gt;"",0.6108*EXP(17.27*원데이터!I198/(원데이터!I198+237.3)),원데이터!E198/100*F198))</f>
        <v/>
      </c>
      <c r="H198" s="21">
        <f>4098*(0.6108*EXP(17.27*C198/(C198+237.3)))/(C198+237.3)^2</f>
        <v/>
      </c>
      <c r="I198" s="17">
        <f>IF(원데이터!J198&lt;&gt;"",원데이터!J198/10,101.3*((293-0.0065*설정!$B$3)/293)^5.26)</f>
        <v/>
      </c>
      <c r="J198" s="21">
        <f>0.000665*I198</f>
        <v/>
      </c>
      <c r="K198" s="18">
        <f>원데이터!G198*4.87/LN(67.8*설정!$B$4-5.42)</f>
        <v/>
      </c>
      <c r="L198" s="12">
        <f>1+0.033*COS(2*PI()*B198/365)</f>
        <v/>
      </c>
      <c r="M198" s="21">
        <f>0.409*SIN(2*PI()*B198/365-1.39)</f>
        <v/>
      </c>
      <c r="N198" s="21">
        <f>ACOS(-TAN(RADIANS(설정!$B$2))*TAN(M198))</f>
        <v/>
      </c>
      <c r="O198" s="18">
        <f>(24*60/PI())*0.082*L198*(N198*SIN(RADIANS(설정!$B$2))*SIN(M198)+COS(RADIANS(설정!$B$2))*COS(M198)*SIN(N198))</f>
        <v/>
      </c>
      <c r="P198" s="18">
        <f>(0.75+0.00002*설정!$B$3)*O198</f>
        <v/>
      </c>
      <c r="Q198" s="18">
        <f>IF(원데이터!K198&lt;&gt;"",원데이터!K198,(0.25+0.5*원데이터!L198/(24/PI()*N198))*O198)</f>
        <v/>
      </c>
      <c r="R198" s="18">
        <f>0.77*Q198</f>
        <v/>
      </c>
      <c r="S198" s="18">
        <f>0.000000004903*(((원데이터!B198+273.16)^4+(원데이터!C198+273.16)^4)/2)*(0.34-0.14*SQRT(G198))*(1.35*MIN(Q198/P198,1)-0.35)</f>
        <v/>
      </c>
      <c r="T198" s="18">
        <f>R198-S198</f>
        <v/>
      </c>
      <c r="U198" s="18">
        <f>(0.408*H198*T198+J198*(900/(C198+273))*K198*(F198-G198))/(H198+J198*(1+0.34*K198))</f>
        <v/>
      </c>
      <c r="V198" s="11">
        <f>IF(원데이터!A198-설정!$B$16&lt;0,"발아전",IF(원데이터!A198-설정!$B$16&lt;설정!$B$17,"초기",IF(원데이터!A198-설정!$B$16&lt;설정!$B$17+설정!$B$18,"발육",IF(원데이터!A198-설정!$B$16&lt;설정!$B$17+설정!$B$18+설정!$B$19,"중기",IF(원데이터!A198-설정!$B$16&lt;설정!$B$17+설정!$B$18+설정!$B$19+설정!$B$20,"후기","후기이후")))))</f>
        <v/>
      </c>
      <c r="W198" s="12">
        <f>IF(원데이터!A198-설정!$B$16&lt;0,0,IF(원데이터!A198-설정!$B$16&lt;설정!$B$17,설정!$B$33,IF(원데이터!A198-설정!$B$16&lt;설정!$B$17+설정!$B$18,설정!$B$33+(설정!$B$34-설정!$B$33)*(원데이터!A198-설정!$B$16-설정!$B$17+1)/설정!$B$18,IF(원데이터!A198-설정!$B$16&lt;설정!$B$17+설정!$B$18+설정!$B$19,설정!$B$34,IF(원데이터!A198-설정!$B$16&lt;설정!$B$17+설정!$B$18+설정!$B$19+설정!$B$20,설정!$B$34+(설정!$B$35-설정!$B$34)*(원데이터!A198-설정!$B$16-설정!$B$17-설정!$B$18-설정!$B$19+1)/설정!$B$20,0)))))</f>
        <v/>
      </c>
      <c r="X198" s="12">
        <f>0.108-0.0286*K198+0.0422*LN(설정!$B$5)+0.1434*LN(원데이터!E198)-0.000631*LN(설정!$B$5)^2*LN(원데이터!E198)</f>
        <v/>
      </c>
      <c r="Y198" s="17">
        <f>원데이터!M198</f>
        <v/>
      </c>
      <c r="Z198" s="18">
        <f>X198*Y198</f>
        <v/>
      </c>
      <c r="AA198" s="18">
        <f>U198*W198</f>
        <v/>
      </c>
      <c r="AB198" s="18">
        <f>Z198*W198</f>
        <v/>
      </c>
    </row>
    <row r="199">
      <c r="A199" s="15">
        <f>원데이터!A199</f>
        <v/>
      </c>
      <c r="B199" s="14">
        <f>원데이터!A199-DATE(YEAR(원데이터!A199),1,1)+1</f>
        <v/>
      </c>
      <c r="C199" s="17">
        <f>(원데이터!B199+원데이터!C199)/2</f>
        <v/>
      </c>
      <c r="D199" s="12">
        <f>0.6108*EXP(17.27*원데이터!B199/(원데이터!B199+237.3))</f>
        <v/>
      </c>
      <c r="E199" s="12">
        <f>0.6108*EXP(17.27*원데이터!C199/(원데이터!C199+237.3))</f>
        <v/>
      </c>
      <c r="F199" s="12">
        <f>(D199+E199)/2</f>
        <v/>
      </c>
      <c r="G199" s="12">
        <f>IF(원데이터!H199&lt;&gt;"",원데이터!H199/10,IF(원데이터!I199&lt;&gt;"",0.6108*EXP(17.27*원데이터!I199/(원데이터!I199+237.3)),원데이터!E199/100*F199))</f>
        <v/>
      </c>
      <c r="H199" s="21">
        <f>4098*(0.6108*EXP(17.27*C199/(C199+237.3)))/(C199+237.3)^2</f>
        <v/>
      </c>
      <c r="I199" s="17">
        <f>IF(원데이터!J199&lt;&gt;"",원데이터!J199/10,101.3*((293-0.0065*설정!$B$3)/293)^5.26)</f>
        <v/>
      </c>
      <c r="J199" s="21">
        <f>0.000665*I199</f>
        <v/>
      </c>
      <c r="K199" s="18">
        <f>원데이터!G199*4.87/LN(67.8*설정!$B$4-5.42)</f>
        <v/>
      </c>
      <c r="L199" s="12">
        <f>1+0.033*COS(2*PI()*B199/365)</f>
        <v/>
      </c>
      <c r="M199" s="21">
        <f>0.409*SIN(2*PI()*B199/365-1.39)</f>
        <v/>
      </c>
      <c r="N199" s="21">
        <f>ACOS(-TAN(RADIANS(설정!$B$2))*TAN(M199))</f>
        <v/>
      </c>
      <c r="O199" s="18">
        <f>(24*60/PI())*0.082*L199*(N199*SIN(RADIANS(설정!$B$2))*SIN(M199)+COS(RADIANS(설정!$B$2))*COS(M199)*SIN(N199))</f>
        <v/>
      </c>
      <c r="P199" s="18">
        <f>(0.75+0.00002*설정!$B$3)*O199</f>
        <v/>
      </c>
      <c r="Q199" s="18">
        <f>IF(원데이터!K199&lt;&gt;"",원데이터!K199,(0.25+0.5*원데이터!L199/(24/PI()*N199))*O199)</f>
        <v/>
      </c>
      <c r="R199" s="18">
        <f>0.77*Q199</f>
        <v/>
      </c>
      <c r="S199" s="18">
        <f>0.000000004903*(((원데이터!B199+273.16)^4+(원데이터!C199+273.16)^4)/2)*(0.34-0.14*SQRT(G199))*(1.35*MIN(Q199/P199,1)-0.35)</f>
        <v/>
      </c>
      <c r="T199" s="18">
        <f>R199-S199</f>
        <v/>
      </c>
      <c r="U199" s="18">
        <f>(0.408*H199*T199+J199*(900/(C199+273))*K199*(F199-G199))/(H199+J199*(1+0.34*K199))</f>
        <v/>
      </c>
      <c r="V199" s="11">
        <f>IF(원데이터!A199-설정!$B$16&lt;0,"발아전",IF(원데이터!A199-설정!$B$16&lt;설정!$B$17,"초기",IF(원데이터!A199-설정!$B$16&lt;설정!$B$17+설정!$B$18,"발육",IF(원데이터!A199-설정!$B$16&lt;설정!$B$17+설정!$B$18+설정!$B$19,"중기",IF(원데이터!A199-설정!$B$16&lt;설정!$B$17+설정!$B$18+설정!$B$19+설정!$B$20,"후기","후기이후")))))</f>
        <v/>
      </c>
      <c r="W199" s="12">
        <f>IF(원데이터!A199-설정!$B$16&lt;0,0,IF(원데이터!A199-설정!$B$16&lt;설정!$B$17,설정!$B$33,IF(원데이터!A199-설정!$B$16&lt;설정!$B$17+설정!$B$18,설정!$B$33+(설정!$B$34-설정!$B$33)*(원데이터!A199-설정!$B$16-설정!$B$17+1)/설정!$B$18,IF(원데이터!A199-설정!$B$16&lt;설정!$B$17+설정!$B$18+설정!$B$19,설정!$B$34,IF(원데이터!A199-설정!$B$16&lt;설정!$B$17+설정!$B$18+설정!$B$19+설정!$B$20,설정!$B$34+(설정!$B$35-설정!$B$34)*(원데이터!A199-설정!$B$16-설정!$B$17-설정!$B$18-설정!$B$19+1)/설정!$B$20,0)))))</f>
        <v/>
      </c>
      <c r="X199" s="12">
        <f>0.108-0.0286*K199+0.0422*LN(설정!$B$5)+0.1434*LN(원데이터!E199)-0.000631*LN(설정!$B$5)^2*LN(원데이터!E199)</f>
        <v/>
      </c>
      <c r="Y199" s="17">
        <f>원데이터!M199</f>
        <v/>
      </c>
      <c r="Z199" s="18">
        <f>X199*Y199</f>
        <v/>
      </c>
      <c r="AA199" s="18">
        <f>U199*W199</f>
        <v/>
      </c>
      <c r="AB199" s="18">
        <f>Z199*W199</f>
        <v/>
      </c>
    </row>
    <row r="200">
      <c r="A200" s="15">
        <f>원데이터!A200</f>
        <v/>
      </c>
      <c r="B200" s="14">
        <f>원데이터!A200-DATE(YEAR(원데이터!A200),1,1)+1</f>
        <v/>
      </c>
      <c r="C200" s="17">
        <f>(원데이터!B200+원데이터!C200)/2</f>
        <v/>
      </c>
      <c r="D200" s="12">
        <f>0.6108*EXP(17.27*원데이터!B200/(원데이터!B200+237.3))</f>
        <v/>
      </c>
      <c r="E200" s="12">
        <f>0.6108*EXP(17.27*원데이터!C200/(원데이터!C200+237.3))</f>
        <v/>
      </c>
      <c r="F200" s="12">
        <f>(D200+E200)/2</f>
        <v/>
      </c>
      <c r="G200" s="12">
        <f>IF(원데이터!H200&lt;&gt;"",원데이터!H200/10,IF(원데이터!I200&lt;&gt;"",0.6108*EXP(17.27*원데이터!I200/(원데이터!I200+237.3)),원데이터!E200/100*F200))</f>
        <v/>
      </c>
      <c r="H200" s="21">
        <f>4098*(0.6108*EXP(17.27*C200/(C200+237.3)))/(C200+237.3)^2</f>
        <v/>
      </c>
      <c r="I200" s="17">
        <f>IF(원데이터!J200&lt;&gt;"",원데이터!J200/10,101.3*((293-0.0065*설정!$B$3)/293)^5.26)</f>
        <v/>
      </c>
      <c r="J200" s="21">
        <f>0.000665*I200</f>
        <v/>
      </c>
      <c r="K200" s="18">
        <f>원데이터!G200*4.87/LN(67.8*설정!$B$4-5.42)</f>
        <v/>
      </c>
      <c r="L200" s="12">
        <f>1+0.033*COS(2*PI()*B200/365)</f>
        <v/>
      </c>
      <c r="M200" s="21">
        <f>0.409*SIN(2*PI()*B200/365-1.39)</f>
        <v/>
      </c>
      <c r="N200" s="21">
        <f>ACOS(-TAN(RADIANS(설정!$B$2))*TAN(M200))</f>
        <v/>
      </c>
      <c r="O200" s="18">
        <f>(24*60/PI())*0.082*L200*(N200*SIN(RADIANS(설정!$B$2))*SIN(M200)+COS(RADIANS(설정!$B$2))*COS(M200)*SIN(N200))</f>
        <v/>
      </c>
      <c r="P200" s="18">
        <f>(0.75+0.00002*설정!$B$3)*O200</f>
        <v/>
      </c>
      <c r="Q200" s="18">
        <f>IF(원데이터!K200&lt;&gt;"",원데이터!K200,(0.25+0.5*원데이터!L200/(24/PI()*N200))*O200)</f>
        <v/>
      </c>
      <c r="R200" s="18">
        <f>0.77*Q200</f>
        <v/>
      </c>
      <c r="S200" s="18">
        <f>0.000000004903*(((원데이터!B200+273.16)^4+(원데이터!C200+273.16)^4)/2)*(0.34-0.14*SQRT(G200))*(1.35*MIN(Q200/P200,1)-0.35)</f>
        <v/>
      </c>
      <c r="T200" s="18">
        <f>R200-S200</f>
        <v/>
      </c>
      <c r="U200" s="18">
        <f>(0.408*H200*T200+J200*(900/(C200+273))*K200*(F200-G200))/(H200+J200*(1+0.34*K200))</f>
        <v/>
      </c>
      <c r="V200" s="11">
        <f>IF(원데이터!A200-설정!$B$16&lt;0,"발아전",IF(원데이터!A200-설정!$B$16&lt;설정!$B$17,"초기",IF(원데이터!A200-설정!$B$16&lt;설정!$B$17+설정!$B$18,"발육",IF(원데이터!A200-설정!$B$16&lt;설정!$B$17+설정!$B$18+설정!$B$19,"중기",IF(원데이터!A200-설정!$B$16&lt;설정!$B$17+설정!$B$18+설정!$B$19+설정!$B$20,"후기","후기이후")))))</f>
        <v/>
      </c>
      <c r="W200" s="12">
        <f>IF(원데이터!A200-설정!$B$16&lt;0,0,IF(원데이터!A200-설정!$B$16&lt;설정!$B$17,설정!$B$33,IF(원데이터!A200-설정!$B$16&lt;설정!$B$17+설정!$B$18,설정!$B$33+(설정!$B$34-설정!$B$33)*(원데이터!A200-설정!$B$16-설정!$B$17+1)/설정!$B$18,IF(원데이터!A200-설정!$B$16&lt;설정!$B$17+설정!$B$18+설정!$B$19,설정!$B$34,IF(원데이터!A200-설정!$B$16&lt;설정!$B$17+설정!$B$18+설정!$B$19+설정!$B$20,설정!$B$34+(설정!$B$35-설정!$B$34)*(원데이터!A200-설정!$B$16-설정!$B$17-설정!$B$18-설정!$B$19+1)/설정!$B$20,0)))))</f>
        <v/>
      </c>
      <c r="X200" s="12">
        <f>0.108-0.0286*K200+0.0422*LN(설정!$B$5)+0.1434*LN(원데이터!E200)-0.000631*LN(설정!$B$5)^2*LN(원데이터!E200)</f>
        <v/>
      </c>
      <c r="Y200" s="17">
        <f>원데이터!M200</f>
        <v/>
      </c>
      <c r="Z200" s="18">
        <f>X200*Y200</f>
        <v/>
      </c>
      <c r="AA200" s="18">
        <f>U200*W200</f>
        <v/>
      </c>
      <c r="AB200" s="18">
        <f>Z200*W200</f>
        <v/>
      </c>
    </row>
    <row r="201">
      <c r="A201" s="15">
        <f>원데이터!A201</f>
        <v/>
      </c>
      <c r="B201" s="14">
        <f>원데이터!A201-DATE(YEAR(원데이터!A201),1,1)+1</f>
        <v/>
      </c>
      <c r="C201" s="17">
        <f>(원데이터!B201+원데이터!C201)/2</f>
        <v/>
      </c>
      <c r="D201" s="12">
        <f>0.6108*EXP(17.27*원데이터!B201/(원데이터!B201+237.3))</f>
        <v/>
      </c>
      <c r="E201" s="12">
        <f>0.6108*EXP(17.27*원데이터!C201/(원데이터!C201+237.3))</f>
        <v/>
      </c>
      <c r="F201" s="12">
        <f>(D201+E201)/2</f>
        <v/>
      </c>
      <c r="G201" s="12">
        <f>IF(원데이터!H201&lt;&gt;"",원데이터!H201/10,IF(원데이터!I201&lt;&gt;"",0.6108*EXP(17.27*원데이터!I201/(원데이터!I201+237.3)),원데이터!E201/100*F201))</f>
        <v/>
      </c>
      <c r="H201" s="21">
        <f>4098*(0.6108*EXP(17.27*C201/(C201+237.3)))/(C201+237.3)^2</f>
        <v/>
      </c>
      <c r="I201" s="17">
        <f>IF(원데이터!J201&lt;&gt;"",원데이터!J201/10,101.3*((293-0.0065*설정!$B$3)/293)^5.26)</f>
        <v/>
      </c>
      <c r="J201" s="21">
        <f>0.000665*I201</f>
        <v/>
      </c>
      <c r="K201" s="18">
        <f>원데이터!G201*4.87/LN(67.8*설정!$B$4-5.42)</f>
        <v/>
      </c>
      <c r="L201" s="12">
        <f>1+0.033*COS(2*PI()*B201/365)</f>
        <v/>
      </c>
      <c r="M201" s="21">
        <f>0.409*SIN(2*PI()*B201/365-1.39)</f>
        <v/>
      </c>
      <c r="N201" s="21">
        <f>ACOS(-TAN(RADIANS(설정!$B$2))*TAN(M201))</f>
        <v/>
      </c>
      <c r="O201" s="18">
        <f>(24*60/PI())*0.082*L201*(N201*SIN(RADIANS(설정!$B$2))*SIN(M201)+COS(RADIANS(설정!$B$2))*COS(M201)*SIN(N201))</f>
        <v/>
      </c>
      <c r="P201" s="18">
        <f>(0.75+0.00002*설정!$B$3)*O201</f>
        <v/>
      </c>
      <c r="Q201" s="18">
        <f>IF(원데이터!K201&lt;&gt;"",원데이터!K201,(0.25+0.5*원데이터!L201/(24/PI()*N201))*O201)</f>
        <v/>
      </c>
      <c r="R201" s="18">
        <f>0.77*Q201</f>
        <v/>
      </c>
      <c r="S201" s="18">
        <f>0.000000004903*(((원데이터!B201+273.16)^4+(원데이터!C201+273.16)^4)/2)*(0.34-0.14*SQRT(G201))*(1.35*MIN(Q201/P201,1)-0.35)</f>
        <v/>
      </c>
      <c r="T201" s="18">
        <f>R201-S201</f>
        <v/>
      </c>
      <c r="U201" s="18">
        <f>(0.408*H201*T201+J201*(900/(C201+273))*K201*(F201-G201))/(H201+J201*(1+0.34*K201))</f>
        <v/>
      </c>
      <c r="V201" s="11">
        <f>IF(원데이터!A201-설정!$B$16&lt;0,"발아전",IF(원데이터!A201-설정!$B$16&lt;설정!$B$17,"초기",IF(원데이터!A201-설정!$B$16&lt;설정!$B$17+설정!$B$18,"발육",IF(원데이터!A201-설정!$B$16&lt;설정!$B$17+설정!$B$18+설정!$B$19,"중기",IF(원데이터!A201-설정!$B$16&lt;설정!$B$17+설정!$B$18+설정!$B$19+설정!$B$20,"후기","후기이후")))))</f>
        <v/>
      </c>
      <c r="W201" s="12">
        <f>IF(원데이터!A201-설정!$B$16&lt;0,0,IF(원데이터!A201-설정!$B$16&lt;설정!$B$17,설정!$B$33,IF(원데이터!A201-설정!$B$16&lt;설정!$B$17+설정!$B$18,설정!$B$33+(설정!$B$34-설정!$B$33)*(원데이터!A201-설정!$B$16-설정!$B$17+1)/설정!$B$18,IF(원데이터!A201-설정!$B$16&lt;설정!$B$17+설정!$B$18+설정!$B$19,설정!$B$34,IF(원데이터!A201-설정!$B$16&lt;설정!$B$17+설정!$B$18+설정!$B$19+설정!$B$20,설정!$B$34+(설정!$B$35-설정!$B$34)*(원데이터!A201-설정!$B$16-설정!$B$17-설정!$B$18-설정!$B$19+1)/설정!$B$20,0)))))</f>
        <v/>
      </c>
      <c r="X201" s="12">
        <f>0.108-0.0286*K201+0.0422*LN(설정!$B$5)+0.1434*LN(원데이터!E201)-0.000631*LN(설정!$B$5)^2*LN(원데이터!E201)</f>
        <v/>
      </c>
      <c r="Y201" s="17">
        <f>원데이터!M201</f>
        <v/>
      </c>
      <c r="Z201" s="18">
        <f>X201*Y201</f>
        <v/>
      </c>
      <c r="AA201" s="18">
        <f>U201*W201</f>
        <v/>
      </c>
      <c r="AB201" s="18">
        <f>Z201*W201</f>
        <v/>
      </c>
    </row>
    <row r="202">
      <c r="A202" s="15">
        <f>원데이터!A202</f>
        <v/>
      </c>
      <c r="B202" s="14">
        <f>원데이터!A202-DATE(YEAR(원데이터!A202),1,1)+1</f>
        <v/>
      </c>
      <c r="C202" s="17">
        <f>(원데이터!B202+원데이터!C202)/2</f>
        <v/>
      </c>
      <c r="D202" s="12">
        <f>0.6108*EXP(17.27*원데이터!B202/(원데이터!B202+237.3))</f>
        <v/>
      </c>
      <c r="E202" s="12">
        <f>0.6108*EXP(17.27*원데이터!C202/(원데이터!C202+237.3))</f>
        <v/>
      </c>
      <c r="F202" s="12">
        <f>(D202+E202)/2</f>
        <v/>
      </c>
      <c r="G202" s="12">
        <f>IF(원데이터!H202&lt;&gt;"",원데이터!H202/10,IF(원데이터!I202&lt;&gt;"",0.6108*EXP(17.27*원데이터!I202/(원데이터!I202+237.3)),원데이터!E202/100*F202))</f>
        <v/>
      </c>
      <c r="H202" s="21">
        <f>4098*(0.6108*EXP(17.27*C202/(C202+237.3)))/(C202+237.3)^2</f>
        <v/>
      </c>
      <c r="I202" s="17">
        <f>IF(원데이터!J202&lt;&gt;"",원데이터!J202/10,101.3*((293-0.0065*설정!$B$3)/293)^5.26)</f>
        <v/>
      </c>
      <c r="J202" s="21">
        <f>0.000665*I202</f>
        <v/>
      </c>
      <c r="K202" s="18">
        <f>원데이터!G202*4.87/LN(67.8*설정!$B$4-5.42)</f>
        <v/>
      </c>
      <c r="L202" s="12">
        <f>1+0.033*COS(2*PI()*B202/365)</f>
        <v/>
      </c>
      <c r="M202" s="21">
        <f>0.409*SIN(2*PI()*B202/365-1.39)</f>
        <v/>
      </c>
      <c r="N202" s="21">
        <f>ACOS(-TAN(RADIANS(설정!$B$2))*TAN(M202))</f>
        <v/>
      </c>
      <c r="O202" s="18">
        <f>(24*60/PI())*0.082*L202*(N202*SIN(RADIANS(설정!$B$2))*SIN(M202)+COS(RADIANS(설정!$B$2))*COS(M202)*SIN(N202))</f>
        <v/>
      </c>
      <c r="P202" s="18">
        <f>(0.75+0.00002*설정!$B$3)*O202</f>
        <v/>
      </c>
      <c r="Q202" s="18">
        <f>IF(원데이터!K202&lt;&gt;"",원데이터!K202,(0.25+0.5*원데이터!L202/(24/PI()*N202))*O202)</f>
        <v/>
      </c>
      <c r="R202" s="18">
        <f>0.77*Q202</f>
        <v/>
      </c>
      <c r="S202" s="18">
        <f>0.000000004903*(((원데이터!B202+273.16)^4+(원데이터!C202+273.16)^4)/2)*(0.34-0.14*SQRT(G202))*(1.35*MIN(Q202/P202,1)-0.35)</f>
        <v/>
      </c>
      <c r="T202" s="18">
        <f>R202-S202</f>
        <v/>
      </c>
      <c r="U202" s="18">
        <f>(0.408*H202*T202+J202*(900/(C202+273))*K202*(F202-G202))/(H202+J202*(1+0.34*K202))</f>
        <v/>
      </c>
      <c r="V202" s="11">
        <f>IF(원데이터!A202-설정!$B$16&lt;0,"발아전",IF(원데이터!A202-설정!$B$16&lt;설정!$B$17,"초기",IF(원데이터!A202-설정!$B$16&lt;설정!$B$17+설정!$B$18,"발육",IF(원데이터!A202-설정!$B$16&lt;설정!$B$17+설정!$B$18+설정!$B$19,"중기",IF(원데이터!A202-설정!$B$16&lt;설정!$B$17+설정!$B$18+설정!$B$19+설정!$B$20,"후기","후기이후")))))</f>
        <v/>
      </c>
      <c r="W202" s="12">
        <f>IF(원데이터!A202-설정!$B$16&lt;0,0,IF(원데이터!A202-설정!$B$16&lt;설정!$B$17,설정!$B$33,IF(원데이터!A202-설정!$B$16&lt;설정!$B$17+설정!$B$18,설정!$B$33+(설정!$B$34-설정!$B$33)*(원데이터!A202-설정!$B$16-설정!$B$17+1)/설정!$B$18,IF(원데이터!A202-설정!$B$16&lt;설정!$B$17+설정!$B$18+설정!$B$19,설정!$B$34,IF(원데이터!A202-설정!$B$16&lt;설정!$B$17+설정!$B$18+설정!$B$19+설정!$B$20,설정!$B$34+(설정!$B$35-설정!$B$34)*(원데이터!A202-설정!$B$16-설정!$B$17-설정!$B$18-설정!$B$19+1)/설정!$B$20,0)))))</f>
        <v/>
      </c>
      <c r="X202" s="12">
        <f>0.108-0.0286*K202+0.0422*LN(설정!$B$5)+0.1434*LN(원데이터!E202)-0.000631*LN(설정!$B$5)^2*LN(원데이터!E202)</f>
        <v/>
      </c>
      <c r="Y202" s="17">
        <f>원데이터!M202</f>
        <v/>
      </c>
      <c r="Z202" s="18">
        <f>X202*Y202</f>
        <v/>
      </c>
      <c r="AA202" s="18">
        <f>U202*W202</f>
        <v/>
      </c>
      <c r="AB202" s="18">
        <f>Z202*W202</f>
        <v/>
      </c>
    </row>
    <row r="203">
      <c r="A203" s="15">
        <f>원데이터!A203</f>
        <v/>
      </c>
      <c r="B203" s="14">
        <f>원데이터!A203-DATE(YEAR(원데이터!A203),1,1)+1</f>
        <v/>
      </c>
      <c r="C203" s="17">
        <f>(원데이터!B203+원데이터!C203)/2</f>
        <v/>
      </c>
      <c r="D203" s="12">
        <f>0.6108*EXP(17.27*원데이터!B203/(원데이터!B203+237.3))</f>
        <v/>
      </c>
      <c r="E203" s="12">
        <f>0.6108*EXP(17.27*원데이터!C203/(원데이터!C203+237.3))</f>
        <v/>
      </c>
      <c r="F203" s="12">
        <f>(D203+E203)/2</f>
        <v/>
      </c>
      <c r="G203" s="12">
        <f>IF(원데이터!H203&lt;&gt;"",원데이터!H203/10,IF(원데이터!I203&lt;&gt;"",0.6108*EXP(17.27*원데이터!I203/(원데이터!I203+237.3)),원데이터!E203/100*F203))</f>
        <v/>
      </c>
      <c r="H203" s="21">
        <f>4098*(0.6108*EXP(17.27*C203/(C203+237.3)))/(C203+237.3)^2</f>
        <v/>
      </c>
      <c r="I203" s="17">
        <f>IF(원데이터!J203&lt;&gt;"",원데이터!J203/10,101.3*((293-0.0065*설정!$B$3)/293)^5.26)</f>
        <v/>
      </c>
      <c r="J203" s="21">
        <f>0.000665*I203</f>
        <v/>
      </c>
      <c r="K203" s="18">
        <f>원데이터!G203*4.87/LN(67.8*설정!$B$4-5.42)</f>
        <v/>
      </c>
      <c r="L203" s="12">
        <f>1+0.033*COS(2*PI()*B203/365)</f>
        <v/>
      </c>
      <c r="M203" s="21">
        <f>0.409*SIN(2*PI()*B203/365-1.39)</f>
        <v/>
      </c>
      <c r="N203" s="21">
        <f>ACOS(-TAN(RADIANS(설정!$B$2))*TAN(M203))</f>
        <v/>
      </c>
      <c r="O203" s="18">
        <f>(24*60/PI())*0.082*L203*(N203*SIN(RADIANS(설정!$B$2))*SIN(M203)+COS(RADIANS(설정!$B$2))*COS(M203)*SIN(N203))</f>
        <v/>
      </c>
      <c r="P203" s="18">
        <f>(0.75+0.00002*설정!$B$3)*O203</f>
        <v/>
      </c>
      <c r="Q203" s="18">
        <f>IF(원데이터!K203&lt;&gt;"",원데이터!K203,(0.25+0.5*원데이터!L203/(24/PI()*N203))*O203)</f>
        <v/>
      </c>
      <c r="R203" s="18">
        <f>0.77*Q203</f>
        <v/>
      </c>
      <c r="S203" s="18">
        <f>0.000000004903*(((원데이터!B203+273.16)^4+(원데이터!C203+273.16)^4)/2)*(0.34-0.14*SQRT(G203))*(1.35*MIN(Q203/P203,1)-0.35)</f>
        <v/>
      </c>
      <c r="T203" s="18">
        <f>R203-S203</f>
        <v/>
      </c>
      <c r="U203" s="18">
        <f>(0.408*H203*T203+J203*(900/(C203+273))*K203*(F203-G203))/(H203+J203*(1+0.34*K203))</f>
        <v/>
      </c>
      <c r="V203" s="11">
        <f>IF(원데이터!A203-설정!$B$16&lt;0,"발아전",IF(원데이터!A203-설정!$B$16&lt;설정!$B$17,"초기",IF(원데이터!A203-설정!$B$16&lt;설정!$B$17+설정!$B$18,"발육",IF(원데이터!A203-설정!$B$16&lt;설정!$B$17+설정!$B$18+설정!$B$19,"중기",IF(원데이터!A203-설정!$B$16&lt;설정!$B$17+설정!$B$18+설정!$B$19+설정!$B$20,"후기","후기이후")))))</f>
        <v/>
      </c>
      <c r="W203" s="12">
        <f>IF(원데이터!A203-설정!$B$16&lt;0,0,IF(원데이터!A203-설정!$B$16&lt;설정!$B$17,설정!$B$33,IF(원데이터!A203-설정!$B$16&lt;설정!$B$17+설정!$B$18,설정!$B$33+(설정!$B$34-설정!$B$33)*(원데이터!A203-설정!$B$16-설정!$B$17+1)/설정!$B$18,IF(원데이터!A203-설정!$B$16&lt;설정!$B$17+설정!$B$18+설정!$B$19,설정!$B$34,IF(원데이터!A203-설정!$B$16&lt;설정!$B$17+설정!$B$18+설정!$B$19+설정!$B$20,설정!$B$34+(설정!$B$35-설정!$B$34)*(원데이터!A203-설정!$B$16-설정!$B$17-설정!$B$18-설정!$B$19+1)/설정!$B$20,0)))))</f>
        <v/>
      </c>
      <c r="X203" s="12">
        <f>0.108-0.0286*K203+0.0422*LN(설정!$B$5)+0.1434*LN(원데이터!E203)-0.000631*LN(설정!$B$5)^2*LN(원데이터!E203)</f>
        <v/>
      </c>
      <c r="Y203" s="17">
        <f>원데이터!M203</f>
        <v/>
      </c>
      <c r="Z203" s="18">
        <f>X203*Y203</f>
        <v/>
      </c>
      <c r="AA203" s="18">
        <f>U203*W203</f>
        <v/>
      </c>
      <c r="AB203" s="18">
        <f>Z203*W203</f>
        <v/>
      </c>
    </row>
    <row r="204">
      <c r="A204" s="15">
        <f>원데이터!A204</f>
        <v/>
      </c>
      <c r="B204" s="14">
        <f>원데이터!A204-DATE(YEAR(원데이터!A204),1,1)+1</f>
        <v/>
      </c>
      <c r="C204" s="17">
        <f>(원데이터!B204+원데이터!C204)/2</f>
        <v/>
      </c>
      <c r="D204" s="12">
        <f>0.6108*EXP(17.27*원데이터!B204/(원데이터!B204+237.3))</f>
        <v/>
      </c>
      <c r="E204" s="12">
        <f>0.6108*EXP(17.27*원데이터!C204/(원데이터!C204+237.3))</f>
        <v/>
      </c>
      <c r="F204" s="12">
        <f>(D204+E204)/2</f>
        <v/>
      </c>
      <c r="G204" s="12">
        <f>IF(원데이터!H204&lt;&gt;"",원데이터!H204/10,IF(원데이터!I204&lt;&gt;"",0.6108*EXP(17.27*원데이터!I204/(원데이터!I204+237.3)),원데이터!E204/100*F204))</f>
        <v/>
      </c>
      <c r="H204" s="21">
        <f>4098*(0.6108*EXP(17.27*C204/(C204+237.3)))/(C204+237.3)^2</f>
        <v/>
      </c>
      <c r="I204" s="17">
        <f>IF(원데이터!J204&lt;&gt;"",원데이터!J204/10,101.3*((293-0.0065*설정!$B$3)/293)^5.26)</f>
        <v/>
      </c>
      <c r="J204" s="21">
        <f>0.000665*I204</f>
        <v/>
      </c>
      <c r="K204" s="18">
        <f>원데이터!G204*4.87/LN(67.8*설정!$B$4-5.42)</f>
        <v/>
      </c>
      <c r="L204" s="12">
        <f>1+0.033*COS(2*PI()*B204/365)</f>
        <v/>
      </c>
      <c r="M204" s="21">
        <f>0.409*SIN(2*PI()*B204/365-1.39)</f>
        <v/>
      </c>
      <c r="N204" s="21">
        <f>ACOS(-TAN(RADIANS(설정!$B$2))*TAN(M204))</f>
        <v/>
      </c>
      <c r="O204" s="18">
        <f>(24*60/PI())*0.082*L204*(N204*SIN(RADIANS(설정!$B$2))*SIN(M204)+COS(RADIANS(설정!$B$2))*COS(M204)*SIN(N204))</f>
        <v/>
      </c>
      <c r="P204" s="18">
        <f>(0.75+0.00002*설정!$B$3)*O204</f>
        <v/>
      </c>
      <c r="Q204" s="18">
        <f>IF(원데이터!K204&lt;&gt;"",원데이터!K204,(0.25+0.5*원데이터!L204/(24/PI()*N204))*O204)</f>
        <v/>
      </c>
      <c r="R204" s="18">
        <f>0.77*Q204</f>
        <v/>
      </c>
      <c r="S204" s="18">
        <f>0.000000004903*(((원데이터!B204+273.16)^4+(원데이터!C204+273.16)^4)/2)*(0.34-0.14*SQRT(G204))*(1.35*MIN(Q204/P204,1)-0.35)</f>
        <v/>
      </c>
      <c r="T204" s="18">
        <f>R204-S204</f>
        <v/>
      </c>
      <c r="U204" s="18">
        <f>(0.408*H204*T204+J204*(900/(C204+273))*K204*(F204-G204))/(H204+J204*(1+0.34*K204))</f>
        <v/>
      </c>
      <c r="V204" s="11">
        <f>IF(원데이터!A204-설정!$B$16&lt;0,"발아전",IF(원데이터!A204-설정!$B$16&lt;설정!$B$17,"초기",IF(원데이터!A204-설정!$B$16&lt;설정!$B$17+설정!$B$18,"발육",IF(원데이터!A204-설정!$B$16&lt;설정!$B$17+설정!$B$18+설정!$B$19,"중기",IF(원데이터!A204-설정!$B$16&lt;설정!$B$17+설정!$B$18+설정!$B$19+설정!$B$20,"후기","후기이후")))))</f>
        <v/>
      </c>
      <c r="W204" s="12">
        <f>IF(원데이터!A204-설정!$B$16&lt;0,0,IF(원데이터!A204-설정!$B$16&lt;설정!$B$17,설정!$B$33,IF(원데이터!A204-설정!$B$16&lt;설정!$B$17+설정!$B$18,설정!$B$33+(설정!$B$34-설정!$B$33)*(원데이터!A204-설정!$B$16-설정!$B$17+1)/설정!$B$18,IF(원데이터!A204-설정!$B$16&lt;설정!$B$17+설정!$B$18+설정!$B$19,설정!$B$34,IF(원데이터!A204-설정!$B$16&lt;설정!$B$17+설정!$B$18+설정!$B$19+설정!$B$20,설정!$B$34+(설정!$B$35-설정!$B$34)*(원데이터!A204-설정!$B$16-설정!$B$17-설정!$B$18-설정!$B$19+1)/설정!$B$20,0)))))</f>
        <v/>
      </c>
      <c r="X204" s="12">
        <f>0.108-0.0286*K204+0.0422*LN(설정!$B$5)+0.1434*LN(원데이터!E204)-0.000631*LN(설정!$B$5)^2*LN(원데이터!E204)</f>
        <v/>
      </c>
      <c r="Y204" s="17">
        <f>원데이터!M204</f>
        <v/>
      </c>
      <c r="Z204" s="18">
        <f>X204*Y204</f>
        <v/>
      </c>
      <c r="AA204" s="18">
        <f>U204*W204</f>
        <v/>
      </c>
      <c r="AB204" s="18">
        <f>Z204*W204</f>
        <v/>
      </c>
    </row>
    <row r="205">
      <c r="A205" s="15">
        <f>원데이터!A205</f>
        <v/>
      </c>
      <c r="B205" s="14">
        <f>원데이터!A205-DATE(YEAR(원데이터!A205),1,1)+1</f>
        <v/>
      </c>
      <c r="C205" s="17">
        <f>(원데이터!B205+원데이터!C205)/2</f>
        <v/>
      </c>
      <c r="D205" s="12">
        <f>0.6108*EXP(17.27*원데이터!B205/(원데이터!B205+237.3))</f>
        <v/>
      </c>
      <c r="E205" s="12">
        <f>0.6108*EXP(17.27*원데이터!C205/(원데이터!C205+237.3))</f>
        <v/>
      </c>
      <c r="F205" s="12">
        <f>(D205+E205)/2</f>
        <v/>
      </c>
      <c r="G205" s="12">
        <f>IF(원데이터!H205&lt;&gt;"",원데이터!H205/10,IF(원데이터!I205&lt;&gt;"",0.6108*EXP(17.27*원데이터!I205/(원데이터!I205+237.3)),원데이터!E205/100*F205))</f>
        <v/>
      </c>
      <c r="H205" s="21">
        <f>4098*(0.6108*EXP(17.27*C205/(C205+237.3)))/(C205+237.3)^2</f>
        <v/>
      </c>
      <c r="I205" s="17">
        <f>IF(원데이터!J205&lt;&gt;"",원데이터!J205/10,101.3*((293-0.0065*설정!$B$3)/293)^5.26)</f>
        <v/>
      </c>
      <c r="J205" s="21">
        <f>0.000665*I205</f>
        <v/>
      </c>
      <c r="K205" s="18">
        <f>원데이터!G205*4.87/LN(67.8*설정!$B$4-5.42)</f>
        <v/>
      </c>
      <c r="L205" s="12">
        <f>1+0.033*COS(2*PI()*B205/365)</f>
        <v/>
      </c>
      <c r="M205" s="21">
        <f>0.409*SIN(2*PI()*B205/365-1.39)</f>
        <v/>
      </c>
      <c r="N205" s="21">
        <f>ACOS(-TAN(RADIANS(설정!$B$2))*TAN(M205))</f>
        <v/>
      </c>
      <c r="O205" s="18">
        <f>(24*60/PI())*0.082*L205*(N205*SIN(RADIANS(설정!$B$2))*SIN(M205)+COS(RADIANS(설정!$B$2))*COS(M205)*SIN(N205))</f>
        <v/>
      </c>
      <c r="P205" s="18">
        <f>(0.75+0.00002*설정!$B$3)*O205</f>
        <v/>
      </c>
      <c r="Q205" s="18">
        <f>IF(원데이터!K205&lt;&gt;"",원데이터!K205,(0.25+0.5*원데이터!L205/(24/PI()*N205))*O205)</f>
        <v/>
      </c>
      <c r="R205" s="18">
        <f>0.77*Q205</f>
        <v/>
      </c>
      <c r="S205" s="18">
        <f>0.000000004903*(((원데이터!B205+273.16)^4+(원데이터!C205+273.16)^4)/2)*(0.34-0.14*SQRT(G205))*(1.35*MIN(Q205/P205,1)-0.35)</f>
        <v/>
      </c>
      <c r="T205" s="18">
        <f>R205-S205</f>
        <v/>
      </c>
      <c r="U205" s="18">
        <f>(0.408*H205*T205+J205*(900/(C205+273))*K205*(F205-G205))/(H205+J205*(1+0.34*K205))</f>
        <v/>
      </c>
      <c r="V205" s="11">
        <f>IF(원데이터!A205-설정!$B$16&lt;0,"발아전",IF(원데이터!A205-설정!$B$16&lt;설정!$B$17,"초기",IF(원데이터!A205-설정!$B$16&lt;설정!$B$17+설정!$B$18,"발육",IF(원데이터!A205-설정!$B$16&lt;설정!$B$17+설정!$B$18+설정!$B$19,"중기",IF(원데이터!A205-설정!$B$16&lt;설정!$B$17+설정!$B$18+설정!$B$19+설정!$B$20,"후기","후기이후")))))</f>
        <v/>
      </c>
      <c r="W205" s="12">
        <f>IF(원데이터!A205-설정!$B$16&lt;0,0,IF(원데이터!A205-설정!$B$16&lt;설정!$B$17,설정!$B$33,IF(원데이터!A205-설정!$B$16&lt;설정!$B$17+설정!$B$18,설정!$B$33+(설정!$B$34-설정!$B$33)*(원데이터!A205-설정!$B$16-설정!$B$17+1)/설정!$B$18,IF(원데이터!A205-설정!$B$16&lt;설정!$B$17+설정!$B$18+설정!$B$19,설정!$B$34,IF(원데이터!A205-설정!$B$16&lt;설정!$B$17+설정!$B$18+설정!$B$19+설정!$B$20,설정!$B$34+(설정!$B$35-설정!$B$34)*(원데이터!A205-설정!$B$16-설정!$B$17-설정!$B$18-설정!$B$19+1)/설정!$B$20,0)))))</f>
        <v/>
      </c>
      <c r="X205" s="12">
        <f>0.108-0.0286*K205+0.0422*LN(설정!$B$5)+0.1434*LN(원데이터!E205)-0.000631*LN(설정!$B$5)^2*LN(원데이터!E205)</f>
        <v/>
      </c>
      <c r="Y205" s="17">
        <f>원데이터!M205</f>
        <v/>
      </c>
      <c r="Z205" s="18">
        <f>X205*Y205</f>
        <v/>
      </c>
      <c r="AA205" s="18">
        <f>U205*W205</f>
        <v/>
      </c>
      <c r="AB205" s="18">
        <f>Z205*W205</f>
        <v/>
      </c>
    </row>
    <row r="206">
      <c r="A206" s="15">
        <f>원데이터!A206</f>
        <v/>
      </c>
      <c r="B206" s="14">
        <f>원데이터!A206-DATE(YEAR(원데이터!A206),1,1)+1</f>
        <v/>
      </c>
      <c r="C206" s="17">
        <f>(원데이터!B206+원데이터!C206)/2</f>
        <v/>
      </c>
      <c r="D206" s="12">
        <f>0.6108*EXP(17.27*원데이터!B206/(원데이터!B206+237.3))</f>
        <v/>
      </c>
      <c r="E206" s="12">
        <f>0.6108*EXP(17.27*원데이터!C206/(원데이터!C206+237.3))</f>
        <v/>
      </c>
      <c r="F206" s="12">
        <f>(D206+E206)/2</f>
        <v/>
      </c>
      <c r="G206" s="12">
        <f>IF(원데이터!H206&lt;&gt;"",원데이터!H206/10,IF(원데이터!I206&lt;&gt;"",0.6108*EXP(17.27*원데이터!I206/(원데이터!I206+237.3)),원데이터!E206/100*F206))</f>
        <v/>
      </c>
      <c r="H206" s="21">
        <f>4098*(0.6108*EXP(17.27*C206/(C206+237.3)))/(C206+237.3)^2</f>
        <v/>
      </c>
      <c r="I206" s="17">
        <f>IF(원데이터!J206&lt;&gt;"",원데이터!J206/10,101.3*((293-0.0065*설정!$B$3)/293)^5.26)</f>
        <v/>
      </c>
      <c r="J206" s="21">
        <f>0.000665*I206</f>
        <v/>
      </c>
      <c r="K206" s="18">
        <f>원데이터!G206*4.87/LN(67.8*설정!$B$4-5.42)</f>
        <v/>
      </c>
      <c r="L206" s="12">
        <f>1+0.033*COS(2*PI()*B206/365)</f>
        <v/>
      </c>
      <c r="M206" s="21">
        <f>0.409*SIN(2*PI()*B206/365-1.39)</f>
        <v/>
      </c>
      <c r="N206" s="21">
        <f>ACOS(-TAN(RADIANS(설정!$B$2))*TAN(M206))</f>
        <v/>
      </c>
      <c r="O206" s="18">
        <f>(24*60/PI())*0.082*L206*(N206*SIN(RADIANS(설정!$B$2))*SIN(M206)+COS(RADIANS(설정!$B$2))*COS(M206)*SIN(N206))</f>
        <v/>
      </c>
      <c r="P206" s="18">
        <f>(0.75+0.00002*설정!$B$3)*O206</f>
        <v/>
      </c>
      <c r="Q206" s="18">
        <f>IF(원데이터!K206&lt;&gt;"",원데이터!K206,(0.25+0.5*원데이터!L206/(24/PI()*N206))*O206)</f>
        <v/>
      </c>
      <c r="R206" s="18">
        <f>0.77*Q206</f>
        <v/>
      </c>
      <c r="S206" s="18">
        <f>0.000000004903*(((원데이터!B206+273.16)^4+(원데이터!C206+273.16)^4)/2)*(0.34-0.14*SQRT(G206))*(1.35*MIN(Q206/P206,1)-0.35)</f>
        <v/>
      </c>
      <c r="T206" s="18">
        <f>R206-S206</f>
        <v/>
      </c>
      <c r="U206" s="18">
        <f>(0.408*H206*T206+J206*(900/(C206+273))*K206*(F206-G206))/(H206+J206*(1+0.34*K206))</f>
        <v/>
      </c>
      <c r="V206" s="11">
        <f>IF(원데이터!A206-설정!$B$16&lt;0,"발아전",IF(원데이터!A206-설정!$B$16&lt;설정!$B$17,"초기",IF(원데이터!A206-설정!$B$16&lt;설정!$B$17+설정!$B$18,"발육",IF(원데이터!A206-설정!$B$16&lt;설정!$B$17+설정!$B$18+설정!$B$19,"중기",IF(원데이터!A206-설정!$B$16&lt;설정!$B$17+설정!$B$18+설정!$B$19+설정!$B$20,"후기","후기이후")))))</f>
        <v/>
      </c>
      <c r="W206" s="12">
        <f>IF(원데이터!A206-설정!$B$16&lt;0,0,IF(원데이터!A206-설정!$B$16&lt;설정!$B$17,설정!$B$33,IF(원데이터!A206-설정!$B$16&lt;설정!$B$17+설정!$B$18,설정!$B$33+(설정!$B$34-설정!$B$33)*(원데이터!A206-설정!$B$16-설정!$B$17+1)/설정!$B$18,IF(원데이터!A206-설정!$B$16&lt;설정!$B$17+설정!$B$18+설정!$B$19,설정!$B$34,IF(원데이터!A206-설정!$B$16&lt;설정!$B$17+설정!$B$18+설정!$B$19+설정!$B$20,설정!$B$34+(설정!$B$35-설정!$B$34)*(원데이터!A206-설정!$B$16-설정!$B$17-설정!$B$18-설정!$B$19+1)/설정!$B$20,0)))))</f>
        <v/>
      </c>
      <c r="X206" s="12">
        <f>0.108-0.0286*K206+0.0422*LN(설정!$B$5)+0.1434*LN(원데이터!E206)-0.000631*LN(설정!$B$5)^2*LN(원데이터!E206)</f>
        <v/>
      </c>
      <c r="Y206" s="17">
        <f>원데이터!M206</f>
        <v/>
      </c>
      <c r="Z206" s="18">
        <f>X206*Y206</f>
        <v/>
      </c>
      <c r="AA206" s="18">
        <f>U206*W206</f>
        <v/>
      </c>
      <c r="AB206" s="18">
        <f>Z206*W206</f>
        <v/>
      </c>
    </row>
    <row r="207">
      <c r="A207" s="15">
        <f>원데이터!A207</f>
        <v/>
      </c>
      <c r="B207" s="14">
        <f>원데이터!A207-DATE(YEAR(원데이터!A207),1,1)+1</f>
        <v/>
      </c>
      <c r="C207" s="17">
        <f>(원데이터!B207+원데이터!C207)/2</f>
        <v/>
      </c>
      <c r="D207" s="12">
        <f>0.6108*EXP(17.27*원데이터!B207/(원데이터!B207+237.3))</f>
        <v/>
      </c>
      <c r="E207" s="12">
        <f>0.6108*EXP(17.27*원데이터!C207/(원데이터!C207+237.3))</f>
        <v/>
      </c>
      <c r="F207" s="12">
        <f>(D207+E207)/2</f>
        <v/>
      </c>
      <c r="G207" s="12">
        <f>IF(원데이터!H207&lt;&gt;"",원데이터!H207/10,IF(원데이터!I207&lt;&gt;"",0.6108*EXP(17.27*원데이터!I207/(원데이터!I207+237.3)),원데이터!E207/100*F207))</f>
        <v/>
      </c>
      <c r="H207" s="21">
        <f>4098*(0.6108*EXP(17.27*C207/(C207+237.3)))/(C207+237.3)^2</f>
        <v/>
      </c>
      <c r="I207" s="17">
        <f>IF(원데이터!J207&lt;&gt;"",원데이터!J207/10,101.3*((293-0.0065*설정!$B$3)/293)^5.26)</f>
        <v/>
      </c>
      <c r="J207" s="21">
        <f>0.000665*I207</f>
        <v/>
      </c>
      <c r="K207" s="18">
        <f>원데이터!G207*4.87/LN(67.8*설정!$B$4-5.42)</f>
        <v/>
      </c>
      <c r="L207" s="12">
        <f>1+0.033*COS(2*PI()*B207/365)</f>
        <v/>
      </c>
      <c r="M207" s="21">
        <f>0.409*SIN(2*PI()*B207/365-1.39)</f>
        <v/>
      </c>
      <c r="N207" s="21">
        <f>ACOS(-TAN(RADIANS(설정!$B$2))*TAN(M207))</f>
        <v/>
      </c>
      <c r="O207" s="18">
        <f>(24*60/PI())*0.082*L207*(N207*SIN(RADIANS(설정!$B$2))*SIN(M207)+COS(RADIANS(설정!$B$2))*COS(M207)*SIN(N207))</f>
        <v/>
      </c>
      <c r="P207" s="18">
        <f>(0.75+0.00002*설정!$B$3)*O207</f>
        <v/>
      </c>
      <c r="Q207" s="18">
        <f>IF(원데이터!K207&lt;&gt;"",원데이터!K207,(0.25+0.5*원데이터!L207/(24/PI()*N207))*O207)</f>
        <v/>
      </c>
      <c r="R207" s="18">
        <f>0.77*Q207</f>
        <v/>
      </c>
      <c r="S207" s="18">
        <f>0.000000004903*(((원데이터!B207+273.16)^4+(원데이터!C207+273.16)^4)/2)*(0.34-0.14*SQRT(G207))*(1.35*MIN(Q207/P207,1)-0.35)</f>
        <v/>
      </c>
      <c r="T207" s="18">
        <f>R207-S207</f>
        <v/>
      </c>
      <c r="U207" s="18">
        <f>(0.408*H207*T207+J207*(900/(C207+273))*K207*(F207-G207))/(H207+J207*(1+0.34*K207))</f>
        <v/>
      </c>
      <c r="V207" s="11">
        <f>IF(원데이터!A207-설정!$B$16&lt;0,"발아전",IF(원데이터!A207-설정!$B$16&lt;설정!$B$17,"초기",IF(원데이터!A207-설정!$B$16&lt;설정!$B$17+설정!$B$18,"발육",IF(원데이터!A207-설정!$B$16&lt;설정!$B$17+설정!$B$18+설정!$B$19,"중기",IF(원데이터!A207-설정!$B$16&lt;설정!$B$17+설정!$B$18+설정!$B$19+설정!$B$20,"후기","후기이후")))))</f>
        <v/>
      </c>
      <c r="W207" s="12">
        <f>IF(원데이터!A207-설정!$B$16&lt;0,0,IF(원데이터!A207-설정!$B$16&lt;설정!$B$17,설정!$B$33,IF(원데이터!A207-설정!$B$16&lt;설정!$B$17+설정!$B$18,설정!$B$33+(설정!$B$34-설정!$B$33)*(원데이터!A207-설정!$B$16-설정!$B$17+1)/설정!$B$18,IF(원데이터!A207-설정!$B$16&lt;설정!$B$17+설정!$B$18+설정!$B$19,설정!$B$34,IF(원데이터!A207-설정!$B$16&lt;설정!$B$17+설정!$B$18+설정!$B$19+설정!$B$20,설정!$B$34+(설정!$B$35-설정!$B$34)*(원데이터!A207-설정!$B$16-설정!$B$17-설정!$B$18-설정!$B$19+1)/설정!$B$20,0)))))</f>
        <v/>
      </c>
      <c r="X207" s="12">
        <f>0.108-0.0286*K207+0.0422*LN(설정!$B$5)+0.1434*LN(원데이터!E207)-0.000631*LN(설정!$B$5)^2*LN(원데이터!E207)</f>
        <v/>
      </c>
      <c r="Y207" s="17">
        <f>원데이터!M207</f>
        <v/>
      </c>
      <c r="Z207" s="18">
        <f>X207*Y207</f>
        <v/>
      </c>
      <c r="AA207" s="18">
        <f>U207*W207</f>
        <v/>
      </c>
      <c r="AB207" s="18">
        <f>Z207*W207</f>
        <v/>
      </c>
    </row>
    <row r="208">
      <c r="A208" s="15">
        <f>원데이터!A208</f>
        <v/>
      </c>
      <c r="B208" s="14">
        <f>원데이터!A208-DATE(YEAR(원데이터!A208),1,1)+1</f>
        <v/>
      </c>
      <c r="C208" s="17">
        <f>(원데이터!B208+원데이터!C208)/2</f>
        <v/>
      </c>
      <c r="D208" s="12">
        <f>0.6108*EXP(17.27*원데이터!B208/(원데이터!B208+237.3))</f>
        <v/>
      </c>
      <c r="E208" s="12">
        <f>0.6108*EXP(17.27*원데이터!C208/(원데이터!C208+237.3))</f>
        <v/>
      </c>
      <c r="F208" s="12">
        <f>(D208+E208)/2</f>
        <v/>
      </c>
      <c r="G208" s="12">
        <f>IF(원데이터!H208&lt;&gt;"",원데이터!H208/10,IF(원데이터!I208&lt;&gt;"",0.6108*EXP(17.27*원데이터!I208/(원데이터!I208+237.3)),원데이터!E208/100*F208))</f>
        <v/>
      </c>
      <c r="H208" s="21">
        <f>4098*(0.6108*EXP(17.27*C208/(C208+237.3)))/(C208+237.3)^2</f>
        <v/>
      </c>
      <c r="I208" s="17">
        <f>IF(원데이터!J208&lt;&gt;"",원데이터!J208/10,101.3*((293-0.0065*설정!$B$3)/293)^5.26)</f>
        <v/>
      </c>
      <c r="J208" s="21">
        <f>0.000665*I208</f>
        <v/>
      </c>
      <c r="K208" s="18">
        <f>원데이터!G208*4.87/LN(67.8*설정!$B$4-5.42)</f>
        <v/>
      </c>
      <c r="L208" s="12">
        <f>1+0.033*COS(2*PI()*B208/365)</f>
        <v/>
      </c>
      <c r="M208" s="21">
        <f>0.409*SIN(2*PI()*B208/365-1.39)</f>
        <v/>
      </c>
      <c r="N208" s="21">
        <f>ACOS(-TAN(RADIANS(설정!$B$2))*TAN(M208))</f>
        <v/>
      </c>
      <c r="O208" s="18">
        <f>(24*60/PI())*0.082*L208*(N208*SIN(RADIANS(설정!$B$2))*SIN(M208)+COS(RADIANS(설정!$B$2))*COS(M208)*SIN(N208))</f>
        <v/>
      </c>
      <c r="P208" s="18">
        <f>(0.75+0.00002*설정!$B$3)*O208</f>
        <v/>
      </c>
      <c r="Q208" s="18">
        <f>IF(원데이터!K208&lt;&gt;"",원데이터!K208,(0.25+0.5*원데이터!L208/(24/PI()*N208))*O208)</f>
        <v/>
      </c>
      <c r="R208" s="18">
        <f>0.77*Q208</f>
        <v/>
      </c>
      <c r="S208" s="18">
        <f>0.000000004903*(((원데이터!B208+273.16)^4+(원데이터!C208+273.16)^4)/2)*(0.34-0.14*SQRT(G208))*(1.35*MIN(Q208/P208,1)-0.35)</f>
        <v/>
      </c>
      <c r="T208" s="18">
        <f>R208-S208</f>
        <v/>
      </c>
      <c r="U208" s="18">
        <f>(0.408*H208*T208+J208*(900/(C208+273))*K208*(F208-G208))/(H208+J208*(1+0.34*K208))</f>
        <v/>
      </c>
      <c r="V208" s="11">
        <f>IF(원데이터!A208-설정!$B$16&lt;0,"발아전",IF(원데이터!A208-설정!$B$16&lt;설정!$B$17,"초기",IF(원데이터!A208-설정!$B$16&lt;설정!$B$17+설정!$B$18,"발육",IF(원데이터!A208-설정!$B$16&lt;설정!$B$17+설정!$B$18+설정!$B$19,"중기",IF(원데이터!A208-설정!$B$16&lt;설정!$B$17+설정!$B$18+설정!$B$19+설정!$B$20,"후기","후기이후")))))</f>
        <v/>
      </c>
      <c r="W208" s="12">
        <f>IF(원데이터!A208-설정!$B$16&lt;0,0,IF(원데이터!A208-설정!$B$16&lt;설정!$B$17,설정!$B$33,IF(원데이터!A208-설정!$B$16&lt;설정!$B$17+설정!$B$18,설정!$B$33+(설정!$B$34-설정!$B$33)*(원데이터!A208-설정!$B$16-설정!$B$17+1)/설정!$B$18,IF(원데이터!A208-설정!$B$16&lt;설정!$B$17+설정!$B$18+설정!$B$19,설정!$B$34,IF(원데이터!A208-설정!$B$16&lt;설정!$B$17+설정!$B$18+설정!$B$19+설정!$B$20,설정!$B$34+(설정!$B$35-설정!$B$34)*(원데이터!A208-설정!$B$16-설정!$B$17-설정!$B$18-설정!$B$19+1)/설정!$B$20,0)))))</f>
        <v/>
      </c>
      <c r="X208" s="12">
        <f>0.108-0.0286*K208+0.0422*LN(설정!$B$5)+0.1434*LN(원데이터!E208)-0.000631*LN(설정!$B$5)^2*LN(원데이터!E208)</f>
        <v/>
      </c>
      <c r="Y208" s="17">
        <f>원데이터!M208</f>
        <v/>
      </c>
      <c r="Z208" s="18">
        <f>X208*Y208</f>
        <v/>
      </c>
      <c r="AA208" s="18">
        <f>U208*W208</f>
        <v/>
      </c>
      <c r="AB208" s="18">
        <f>Z208*W208</f>
        <v/>
      </c>
    </row>
    <row r="209">
      <c r="A209" s="15">
        <f>원데이터!A209</f>
        <v/>
      </c>
      <c r="B209" s="14">
        <f>원데이터!A209-DATE(YEAR(원데이터!A209),1,1)+1</f>
        <v/>
      </c>
      <c r="C209" s="17">
        <f>(원데이터!B209+원데이터!C209)/2</f>
        <v/>
      </c>
      <c r="D209" s="12">
        <f>0.6108*EXP(17.27*원데이터!B209/(원데이터!B209+237.3))</f>
        <v/>
      </c>
      <c r="E209" s="12">
        <f>0.6108*EXP(17.27*원데이터!C209/(원데이터!C209+237.3))</f>
        <v/>
      </c>
      <c r="F209" s="12">
        <f>(D209+E209)/2</f>
        <v/>
      </c>
      <c r="G209" s="12">
        <f>IF(원데이터!H209&lt;&gt;"",원데이터!H209/10,IF(원데이터!I209&lt;&gt;"",0.6108*EXP(17.27*원데이터!I209/(원데이터!I209+237.3)),원데이터!E209/100*F209))</f>
        <v/>
      </c>
      <c r="H209" s="21">
        <f>4098*(0.6108*EXP(17.27*C209/(C209+237.3)))/(C209+237.3)^2</f>
        <v/>
      </c>
      <c r="I209" s="17">
        <f>IF(원데이터!J209&lt;&gt;"",원데이터!J209/10,101.3*((293-0.0065*설정!$B$3)/293)^5.26)</f>
        <v/>
      </c>
      <c r="J209" s="21">
        <f>0.000665*I209</f>
        <v/>
      </c>
      <c r="K209" s="18">
        <f>원데이터!G209*4.87/LN(67.8*설정!$B$4-5.42)</f>
        <v/>
      </c>
      <c r="L209" s="12">
        <f>1+0.033*COS(2*PI()*B209/365)</f>
        <v/>
      </c>
      <c r="M209" s="21">
        <f>0.409*SIN(2*PI()*B209/365-1.39)</f>
        <v/>
      </c>
      <c r="N209" s="21">
        <f>ACOS(-TAN(RADIANS(설정!$B$2))*TAN(M209))</f>
        <v/>
      </c>
      <c r="O209" s="18">
        <f>(24*60/PI())*0.082*L209*(N209*SIN(RADIANS(설정!$B$2))*SIN(M209)+COS(RADIANS(설정!$B$2))*COS(M209)*SIN(N209))</f>
        <v/>
      </c>
      <c r="P209" s="18">
        <f>(0.75+0.00002*설정!$B$3)*O209</f>
        <v/>
      </c>
      <c r="Q209" s="18">
        <f>IF(원데이터!K209&lt;&gt;"",원데이터!K209,(0.25+0.5*원데이터!L209/(24/PI()*N209))*O209)</f>
        <v/>
      </c>
      <c r="R209" s="18">
        <f>0.77*Q209</f>
        <v/>
      </c>
      <c r="S209" s="18">
        <f>0.000000004903*(((원데이터!B209+273.16)^4+(원데이터!C209+273.16)^4)/2)*(0.34-0.14*SQRT(G209))*(1.35*MIN(Q209/P209,1)-0.35)</f>
        <v/>
      </c>
      <c r="T209" s="18">
        <f>R209-S209</f>
        <v/>
      </c>
      <c r="U209" s="18">
        <f>(0.408*H209*T209+J209*(900/(C209+273))*K209*(F209-G209))/(H209+J209*(1+0.34*K209))</f>
        <v/>
      </c>
      <c r="V209" s="11">
        <f>IF(원데이터!A209-설정!$B$16&lt;0,"발아전",IF(원데이터!A209-설정!$B$16&lt;설정!$B$17,"초기",IF(원데이터!A209-설정!$B$16&lt;설정!$B$17+설정!$B$18,"발육",IF(원데이터!A209-설정!$B$16&lt;설정!$B$17+설정!$B$18+설정!$B$19,"중기",IF(원데이터!A209-설정!$B$16&lt;설정!$B$17+설정!$B$18+설정!$B$19+설정!$B$20,"후기","후기이후")))))</f>
        <v/>
      </c>
      <c r="W209" s="12">
        <f>IF(원데이터!A209-설정!$B$16&lt;0,0,IF(원데이터!A209-설정!$B$16&lt;설정!$B$17,설정!$B$33,IF(원데이터!A209-설정!$B$16&lt;설정!$B$17+설정!$B$18,설정!$B$33+(설정!$B$34-설정!$B$33)*(원데이터!A209-설정!$B$16-설정!$B$17+1)/설정!$B$18,IF(원데이터!A209-설정!$B$16&lt;설정!$B$17+설정!$B$18+설정!$B$19,설정!$B$34,IF(원데이터!A209-설정!$B$16&lt;설정!$B$17+설정!$B$18+설정!$B$19+설정!$B$20,설정!$B$34+(설정!$B$35-설정!$B$34)*(원데이터!A209-설정!$B$16-설정!$B$17-설정!$B$18-설정!$B$19+1)/설정!$B$20,0)))))</f>
        <v/>
      </c>
      <c r="X209" s="12">
        <f>0.108-0.0286*K209+0.0422*LN(설정!$B$5)+0.1434*LN(원데이터!E209)-0.000631*LN(설정!$B$5)^2*LN(원데이터!E209)</f>
        <v/>
      </c>
      <c r="Y209" s="17">
        <f>원데이터!M209</f>
        <v/>
      </c>
      <c r="Z209" s="18">
        <f>X209*Y209</f>
        <v/>
      </c>
      <c r="AA209" s="18">
        <f>U209*W209</f>
        <v/>
      </c>
      <c r="AB209" s="18">
        <f>Z209*W209</f>
        <v/>
      </c>
    </row>
    <row r="210">
      <c r="A210" s="15">
        <f>원데이터!A210</f>
        <v/>
      </c>
      <c r="B210" s="14">
        <f>원데이터!A210-DATE(YEAR(원데이터!A210),1,1)+1</f>
        <v/>
      </c>
      <c r="C210" s="17">
        <f>(원데이터!B210+원데이터!C210)/2</f>
        <v/>
      </c>
      <c r="D210" s="12">
        <f>0.6108*EXP(17.27*원데이터!B210/(원데이터!B210+237.3))</f>
        <v/>
      </c>
      <c r="E210" s="12">
        <f>0.6108*EXP(17.27*원데이터!C210/(원데이터!C210+237.3))</f>
        <v/>
      </c>
      <c r="F210" s="12">
        <f>(D210+E210)/2</f>
        <v/>
      </c>
      <c r="G210" s="12">
        <f>IF(원데이터!H210&lt;&gt;"",원데이터!H210/10,IF(원데이터!I210&lt;&gt;"",0.6108*EXP(17.27*원데이터!I210/(원데이터!I210+237.3)),원데이터!E210/100*F210))</f>
        <v/>
      </c>
      <c r="H210" s="21">
        <f>4098*(0.6108*EXP(17.27*C210/(C210+237.3)))/(C210+237.3)^2</f>
        <v/>
      </c>
      <c r="I210" s="17">
        <f>IF(원데이터!J210&lt;&gt;"",원데이터!J210/10,101.3*((293-0.0065*설정!$B$3)/293)^5.26)</f>
        <v/>
      </c>
      <c r="J210" s="21">
        <f>0.000665*I210</f>
        <v/>
      </c>
      <c r="K210" s="18">
        <f>원데이터!G210*4.87/LN(67.8*설정!$B$4-5.42)</f>
        <v/>
      </c>
      <c r="L210" s="12">
        <f>1+0.033*COS(2*PI()*B210/365)</f>
        <v/>
      </c>
      <c r="M210" s="21">
        <f>0.409*SIN(2*PI()*B210/365-1.39)</f>
        <v/>
      </c>
      <c r="N210" s="21">
        <f>ACOS(-TAN(RADIANS(설정!$B$2))*TAN(M210))</f>
        <v/>
      </c>
      <c r="O210" s="18">
        <f>(24*60/PI())*0.082*L210*(N210*SIN(RADIANS(설정!$B$2))*SIN(M210)+COS(RADIANS(설정!$B$2))*COS(M210)*SIN(N210))</f>
        <v/>
      </c>
      <c r="P210" s="18">
        <f>(0.75+0.00002*설정!$B$3)*O210</f>
        <v/>
      </c>
      <c r="Q210" s="18">
        <f>IF(원데이터!K210&lt;&gt;"",원데이터!K210,(0.25+0.5*원데이터!L210/(24/PI()*N210))*O210)</f>
        <v/>
      </c>
      <c r="R210" s="18">
        <f>0.77*Q210</f>
        <v/>
      </c>
      <c r="S210" s="18">
        <f>0.000000004903*(((원데이터!B210+273.16)^4+(원데이터!C210+273.16)^4)/2)*(0.34-0.14*SQRT(G210))*(1.35*MIN(Q210/P210,1)-0.35)</f>
        <v/>
      </c>
      <c r="T210" s="18">
        <f>R210-S210</f>
        <v/>
      </c>
      <c r="U210" s="18">
        <f>(0.408*H210*T210+J210*(900/(C210+273))*K210*(F210-G210))/(H210+J210*(1+0.34*K210))</f>
        <v/>
      </c>
      <c r="V210" s="11">
        <f>IF(원데이터!A210-설정!$B$16&lt;0,"발아전",IF(원데이터!A210-설정!$B$16&lt;설정!$B$17,"초기",IF(원데이터!A210-설정!$B$16&lt;설정!$B$17+설정!$B$18,"발육",IF(원데이터!A210-설정!$B$16&lt;설정!$B$17+설정!$B$18+설정!$B$19,"중기",IF(원데이터!A210-설정!$B$16&lt;설정!$B$17+설정!$B$18+설정!$B$19+설정!$B$20,"후기","후기이후")))))</f>
        <v/>
      </c>
      <c r="W210" s="12">
        <f>IF(원데이터!A210-설정!$B$16&lt;0,0,IF(원데이터!A210-설정!$B$16&lt;설정!$B$17,설정!$B$33,IF(원데이터!A210-설정!$B$16&lt;설정!$B$17+설정!$B$18,설정!$B$33+(설정!$B$34-설정!$B$33)*(원데이터!A210-설정!$B$16-설정!$B$17+1)/설정!$B$18,IF(원데이터!A210-설정!$B$16&lt;설정!$B$17+설정!$B$18+설정!$B$19,설정!$B$34,IF(원데이터!A210-설정!$B$16&lt;설정!$B$17+설정!$B$18+설정!$B$19+설정!$B$20,설정!$B$34+(설정!$B$35-설정!$B$34)*(원데이터!A210-설정!$B$16-설정!$B$17-설정!$B$18-설정!$B$19+1)/설정!$B$20,0)))))</f>
        <v/>
      </c>
      <c r="X210" s="12">
        <f>0.108-0.0286*K210+0.0422*LN(설정!$B$5)+0.1434*LN(원데이터!E210)-0.000631*LN(설정!$B$5)^2*LN(원데이터!E210)</f>
        <v/>
      </c>
      <c r="Y210" s="17">
        <f>원데이터!M210</f>
        <v/>
      </c>
      <c r="Z210" s="18">
        <f>X210*Y210</f>
        <v/>
      </c>
      <c r="AA210" s="18">
        <f>U210*W210</f>
        <v/>
      </c>
      <c r="AB210" s="18">
        <f>Z210*W210</f>
        <v/>
      </c>
    </row>
    <row r="211">
      <c r="A211" s="15">
        <f>원데이터!A211</f>
        <v/>
      </c>
      <c r="B211" s="14">
        <f>원데이터!A211-DATE(YEAR(원데이터!A211),1,1)+1</f>
        <v/>
      </c>
      <c r="C211" s="17">
        <f>(원데이터!B211+원데이터!C211)/2</f>
        <v/>
      </c>
      <c r="D211" s="12">
        <f>0.6108*EXP(17.27*원데이터!B211/(원데이터!B211+237.3))</f>
        <v/>
      </c>
      <c r="E211" s="12">
        <f>0.6108*EXP(17.27*원데이터!C211/(원데이터!C211+237.3))</f>
        <v/>
      </c>
      <c r="F211" s="12">
        <f>(D211+E211)/2</f>
        <v/>
      </c>
      <c r="G211" s="12">
        <f>IF(원데이터!H211&lt;&gt;"",원데이터!H211/10,IF(원데이터!I211&lt;&gt;"",0.6108*EXP(17.27*원데이터!I211/(원데이터!I211+237.3)),원데이터!E211/100*F211))</f>
        <v/>
      </c>
      <c r="H211" s="21">
        <f>4098*(0.6108*EXP(17.27*C211/(C211+237.3)))/(C211+237.3)^2</f>
        <v/>
      </c>
      <c r="I211" s="17">
        <f>IF(원데이터!J211&lt;&gt;"",원데이터!J211/10,101.3*((293-0.0065*설정!$B$3)/293)^5.26)</f>
        <v/>
      </c>
      <c r="J211" s="21">
        <f>0.000665*I211</f>
        <v/>
      </c>
      <c r="K211" s="18">
        <f>원데이터!G211*4.87/LN(67.8*설정!$B$4-5.42)</f>
        <v/>
      </c>
      <c r="L211" s="12">
        <f>1+0.033*COS(2*PI()*B211/365)</f>
        <v/>
      </c>
      <c r="M211" s="21">
        <f>0.409*SIN(2*PI()*B211/365-1.39)</f>
        <v/>
      </c>
      <c r="N211" s="21">
        <f>ACOS(-TAN(RADIANS(설정!$B$2))*TAN(M211))</f>
        <v/>
      </c>
      <c r="O211" s="18">
        <f>(24*60/PI())*0.082*L211*(N211*SIN(RADIANS(설정!$B$2))*SIN(M211)+COS(RADIANS(설정!$B$2))*COS(M211)*SIN(N211))</f>
        <v/>
      </c>
      <c r="P211" s="18">
        <f>(0.75+0.00002*설정!$B$3)*O211</f>
        <v/>
      </c>
      <c r="Q211" s="18">
        <f>IF(원데이터!K211&lt;&gt;"",원데이터!K211,(0.25+0.5*원데이터!L211/(24/PI()*N211))*O211)</f>
        <v/>
      </c>
      <c r="R211" s="18">
        <f>0.77*Q211</f>
        <v/>
      </c>
      <c r="S211" s="18">
        <f>0.000000004903*(((원데이터!B211+273.16)^4+(원데이터!C211+273.16)^4)/2)*(0.34-0.14*SQRT(G211))*(1.35*MIN(Q211/P211,1)-0.35)</f>
        <v/>
      </c>
      <c r="T211" s="18">
        <f>R211-S211</f>
        <v/>
      </c>
      <c r="U211" s="18">
        <f>(0.408*H211*T211+J211*(900/(C211+273))*K211*(F211-G211))/(H211+J211*(1+0.34*K211))</f>
        <v/>
      </c>
      <c r="V211" s="11">
        <f>IF(원데이터!A211-설정!$B$16&lt;0,"발아전",IF(원데이터!A211-설정!$B$16&lt;설정!$B$17,"초기",IF(원데이터!A211-설정!$B$16&lt;설정!$B$17+설정!$B$18,"발육",IF(원데이터!A211-설정!$B$16&lt;설정!$B$17+설정!$B$18+설정!$B$19,"중기",IF(원데이터!A211-설정!$B$16&lt;설정!$B$17+설정!$B$18+설정!$B$19+설정!$B$20,"후기","후기이후")))))</f>
        <v/>
      </c>
      <c r="W211" s="12">
        <f>IF(원데이터!A211-설정!$B$16&lt;0,0,IF(원데이터!A211-설정!$B$16&lt;설정!$B$17,설정!$B$33,IF(원데이터!A211-설정!$B$16&lt;설정!$B$17+설정!$B$18,설정!$B$33+(설정!$B$34-설정!$B$33)*(원데이터!A211-설정!$B$16-설정!$B$17+1)/설정!$B$18,IF(원데이터!A211-설정!$B$16&lt;설정!$B$17+설정!$B$18+설정!$B$19,설정!$B$34,IF(원데이터!A211-설정!$B$16&lt;설정!$B$17+설정!$B$18+설정!$B$19+설정!$B$20,설정!$B$34+(설정!$B$35-설정!$B$34)*(원데이터!A211-설정!$B$16-설정!$B$17-설정!$B$18-설정!$B$19+1)/설정!$B$20,0)))))</f>
        <v/>
      </c>
      <c r="X211" s="12">
        <f>0.108-0.0286*K211+0.0422*LN(설정!$B$5)+0.1434*LN(원데이터!E211)-0.000631*LN(설정!$B$5)^2*LN(원데이터!E211)</f>
        <v/>
      </c>
      <c r="Y211" s="17">
        <f>원데이터!M211</f>
        <v/>
      </c>
      <c r="Z211" s="18">
        <f>X211*Y211</f>
        <v/>
      </c>
      <c r="AA211" s="18">
        <f>U211*W211</f>
        <v/>
      </c>
      <c r="AB211" s="18">
        <f>Z211*W211</f>
        <v/>
      </c>
    </row>
    <row r="212">
      <c r="A212" s="15">
        <f>원데이터!A212</f>
        <v/>
      </c>
      <c r="B212" s="14">
        <f>원데이터!A212-DATE(YEAR(원데이터!A212),1,1)+1</f>
        <v/>
      </c>
      <c r="C212" s="17">
        <f>(원데이터!B212+원데이터!C212)/2</f>
        <v/>
      </c>
      <c r="D212" s="12">
        <f>0.6108*EXP(17.27*원데이터!B212/(원데이터!B212+237.3))</f>
        <v/>
      </c>
      <c r="E212" s="12">
        <f>0.6108*EXP(17.27*원데이터!C212/(원데이터!C212+237.3))</f>
        <v/>
      </c>
      <c r="F212" s="12">
        <f>(D212+E212)/2</f>
        <v/>
      </c>
      <c r="G212" s="12">
        <f>IF(원데이터!H212&lt;&gt;"",원데이터!H212/10,IF(원데이터!I212&lt;&gt;"",0.6108*EXP(17.27*원데이터!I212/(원데이터!I212+237.3)),원데이터!E212/100*F212))</f>
        <v/>
      </c>
      <c r="H212" s="21">
        <f>4098*(0.6108*EXP(17.27*C212/(C212+237.3)))/(C212+237.3)^2</f>
        <v/>
      </c>
      <c r="I212" s="17">
        <f>IF(원데이터!J212&lt;&gt;"",원데이터!J212/10,101.3*((293-0.0065*설정!$B$3)/293)^5.26)</f>
        <v/>
      </c>
      <c r="J212" s="21">
        <f>0.000665*I212</f>
        <v/>
      </c>
      <c r="K212" s="18">
        <f>원데이터!G212*4.87/LN(67.8*설정!$B$4-5.42)</f>
        <v/>
      </c>
      <c r="L212" s="12">
        <f>1+0.033*COS(2*PI()*B212/365)</f>
        <v/>
      </c>
      <c r="M212" s="21">
        <f>0.409*SIN(2*PI()*B212/365-1.39)</f>
        <v/>
      </c>
      <c r="N212" s="21">
        <f>ACOS(-TAN(RADIANS(설정!$B$2))*TAN(M212))</f>
        <v/>
      </c>
      <c r="O212" s="18">
        <f>(24*60/PI())*0.082*L212*(N212*SIN(RADIANS(설정!$B$2))*SIN(M212)+COS(RADIANS(설정!$B$2))*COS(M212)*SIN(N212))</f>
        <v/>
      </c>
      <c r="P212" s="18">
        <f>(0.75+0.00002*설정!$B$3)*O212</f>
        <v/>
      </c>
      <c r="Q212" s="18">
        <f>IF(원데이터!K212&lt;&gt;"",원데이터!K212,(0.25+0.5*원데이터!L212/(24/PI()*N212))*O212)</f>
        <v/>
      </c>
      <c r="R212" s="18">
        <f>0.77*Q212</f>
        <v/>
      </c>
      <c r="S212" s="18">
        <f>0.000000004903*(((원데이터!B212+273.16)^4+(원데이터!C212+273.16)^4)/2)*(0.34-0.14*SQRT(G212))*(1.35*MIN(Q212/P212,1)-0.35)</f>
        <v/>
      </c>
      <c r="T212" s="18">
        <f>R212-S212</f>
        <v/>
      </c>
      <c r="U212" s="18">
        <f>(0.408*H212*T212+J212*(900/(C212+273))*K212*(F212-G212))/(H212+J212*(1+0.34*K212))</f>
        <v/>
      </c>
      <c r="V212" s="11">
        <f>IF(원데이터!A212-설정!$B$16&lt;0,"발아전",IF(원데이터!A212-설정!$B$16&lt;설정!$B$17,"초기",IF(원데이터!A212-설정!$B$16&lt;설정!$B$17+설정!$B$18,"발육",IF(원데이터!A212-설정!$B$16&lt;설정!$B$17+설정!$B$18+설정!$B$19,"중기",IF(원데이터!A212-설정!$B$16&lt;설정!$B$17+설정!$B$18+설정!$B$19+설정!$B$20,"후기","후기이후")))))</f>
        <v/>
      </c>
      <c r="W212" s="12">
        <f>IF(원데이터!A212-설정!$B$16&lt;0,0,IF(원데이터!A212-설정!$B$16&lt;설정!$B$17,설정!$B$33,IF(원데이터!A212-설정!$B$16&lt;설정!$B$17+설정!$B$18,설정!$B$33+(설정!$B$34-설정!$B$33)*(원데이터!A212-설정!$B$16-설정!$B$17+1)/설정!$B$18,IF(원데이터!A212-설정!$B$16&lt;설정!$B$17+설정!$B$18+설정!$B$19,설정!$B$34,IF(원데이터!A212-설정!$B$16&lt;설정!$B$17+설정!$B$18+설정!$B$19+설정!$B$20,설정!$B$34+(설정!$B$35-설정!$B$34)*(원데이터!A212-설정!$B$16-설정!$B$17-설정!$B$18-설정!$B$19+1)/설정!$B$20,0)))))</f>
        <v/>
      </c>
      <c r="X212" s="12">
        <f>0.108-0.0286*K212+0.0422*LN(설정!$B$5)+0.1434*LN(원데이터!E212)-0.000631*LN(설정!$B$5)^2*LN(원데이터!E212)</f>
        <v/>
      </c>
      <c r="Y212" s="17">
        <f>원데이터!M212</f>
        <v/>
      </c>
      <c r="Z212" s="18">
        <f>X212*Y212</f>
        <v/>
      </c>
      <c r="AA212" s="18">
        <f>U212*W212</f>
        <v/>
      </c>
      <c r="AB212" s="18">
        <f>Z212*W212</f>
        <v/>
      </c>
    </row>
    <row r="213">
      <c r="A213" s="15">
        <f>원데이터!A213</f>
        <v/>
      </c>
      <c r="B213" s="14">
        <f>원데이터!A213-DATE(YEAR(원데이터!A213),1,1)+1</f>
        <v/>
      </c>
      <c r="C213" s="17">
        <f>(원데이터!B213+원데이터!C213)/2</f>
        <v/>
      </c>
      <c r="D213" s="12">
        <f>0.6108*EXP(17.27*원데이터!B213/(원데이터!B213+237.3))</f>
        <v/>
      </c>
      <c r="E213" s="12">
        <f>0.6108*EXP(17.27*원데이터!C213/(원데이터!C213+237.3))</f>
        <v/>
      </c>
      <c r="F213" s="12">
        <f>(D213+E213)/2</f>
        <v/>
      </c>
      <c r="G213" s="12">
        <f>IF(원데이터!H213&lt;&gt;"",원데이터!H213/10,IF(원데이터!I213&lt;&gt;"",0.6108*EXP(17.27*원데이터!I213/(원데이터!I213+237.3)),원데이터!E213/100*F213))</f>
        <v/>
      </c>
      <c r="H213" s="21">
        <f>4098*(0.6108*EXP(17.27*C213/(C213+237.3)))/(C213+237.3)^2</f>
        <v/>
      </c>
      <c r="I213" s="17">
        <f>IF(원데이터!J213&lt;&gt;"",원데이터!J213/10,101.3*((293-0.0065*설정!$B$3)/293)^5.26)</f>
        <v/>
      </c>
      <c r="J213" s="21">
        <f>0.000665*I213</f>
        <v/>
      </c>
      <c r="K213" s="18">
        <f>원데이터!G213*4.87/LN(67.8*설정!$B$4-5.42)</f>
        <v/>
      </c>
      <c r="L213" s="12">
        <f>1+0.033*COS(2*PI()*B213/365)</f>
        <v/>
      </c>
      <c r="M213" s="21">
        <f>0.409*SIN(2*PI()*B213/365-1.39)</f>
        <v/>
      </c>
      <c r="N213" s="21">
        <f>ACOS(-TAN(RADIANS(설정!$B$2))*TAN(M213))</f>
        <v/>
      </c>
      <c r="O213" s="18">
        <f>(24*60/PI())*0.082*L213*(N213*SIN(RADIANS(설정!$B$2))*SIN(M213)+COS(RADIANS(설정!$B$2))*COS(M213)*SIN(N213))</f>
        <v/>
      </c>
      <c r="P213" s="18">
        <f>(0.75+0.00002*설정!$B$3)*O213</f>
        <v/>
      </c>
      <c r="Q213" s="18">
        <f>IF(원데이터!K213&lt;&gt;"",원데이터!K213,(0.25+0.5*원데이터!L213/(24/PI()*N213))*O213)</f>
        <v/>
      </c>
      <c r="R213" s="18">
        <f>0.77*Q213</f>
        <v/>
      </c>
      <c r="S213" s="18">
        <f>0.000000004903*(((원데이터!B213+273.16)^4+(원데이터!C213+273.16)^4)/2)*(0.34-0.14*SQRT(G213))*(1.35*MIN(Q213/P213,1)-0.35)</f>
        <v/>
      </c>
      <c r="T213" s="18">
        <f>R213-S213</f>
        <v/>
      </c>
      <c r="U213" s="18">
        <f>(0.408*H213*T213+J213*(900/(C213+273))*K213*(F213-G213))/(H213+J213*(1+0.34*K213))</f>
        <v/>
      </c>
      <c r="V213" s="11">
        <f>IF(원데이터!A213-설정!$B$16&lt;0,"발아전",IF(원데이터!A213-설정!$B$16&lt;설정!$B$17,"초기",IF(원데이터!A213-설정!$B$16&lt;설정!$B$17+설정!$B$18,"발육",IF(원데이터!A213-설정!$B$16&lt;설정!$B$17+설정!$B$18+설정!$B$19,"중기",IF(원데이터!A213-설정!$B$16&lt;설정!$B$17+설정!$B$18+설정!$B$19+설정!$B$20,"후기","후기이후")))))</f>
        <v/>
      </c>
      <c r="W213" s="12">
        <f>IF(원데이터!A213-설정!$B$16&lt;0,0,IF(원데이터!A213-설정!$B$16&lt;설정!$B$17,설정!$B$33,IF(원데이터!A213-설정!$B$16&lt;설정!$B$17+설정!$B$18,설정!$B$33+(설정!$B$34-설정!$B$33)*(원데이터!A213-설정!$B$16-설정!$B$17+1)/설정!$B$18,IF(원데이터!A213-설정!$B$16&lt;설정!$B$17+설정!$B$18+설정!$B$19,설정!$B$34,IF(원데이터!A213-설정!$B$16&lt;설정!$B$17+설정!$B$18+설정!$B$19+설정!$B$20,설정!$B$34+(설정!$B$35-설정!$B$34)*(원데이터!A213-설정!$B$16-설정!$B$17-설정!$B$18-설정!$B$19+1)/설정!$B$20,0)))))</f>
        <v/>
      </c>
      <c r="X213" s="12">
        <f>0.108-0.0286*K213+0.0422*LN(설정!$B$5)+0.1434*LN(원데이터!E213)-0.000631*LN(설정!$B$5)^2*LN(원데이터!E213)</f>
        <v/>
      </c>
      <c r="Y213" s="17">
        <f>원데이터!M213</f>
        <v/>
      </c>
      <c r="Z213" s="18">
        <f>X213*Y213</f>
        <v/>
      </c>
      <c r="AA213" s="18">
        <f>U213*W213</f>
        <v/>
      </c>
      <c r="AB213" s="18">
        <f>Z213*W213</f>
        <v/>
      </c>
    </row>
    <row r="214">
      <c r="A214" s="15">
        <f>원데이터!A214</f>
        <v/>
      </c>
      <c r="B214" s="14">
        <f>원데이터!A214-DATE(YEAR(원데이터!A214),1,1)+1</f>
        <v/>
      </c>
      <c r="C214" s="17">
        <f>(원데이터!B214+원데이터!C214)/2</f>
        <v/>
      </c>
      <c r="D214" s="12">
        <f>0.6108*EXP(17.27*원데이터!B214/(원데이터!B214+237.3))</f>
        <v/>
      </c>
      <c r="E214" s="12">
        <f>0.6108*EXP(17.27*원데이터!C214/(원데이터!C214+237.3))</f>
        <v/>
      </c>
      <c r="F214" s="12">
        <f>(D214+E214)/2</f>
        <v/>
      </c>
      <c r="G214" s="12">
        <f>IF(원데이터!H214&lt;&gt;"",원데이터!H214/10,IF(원데이터!I214&lt;&gt;"",0.6108*EXP(17.27*원데이터!I214/(원데이터!I214+237.3)),원데이터!E214/100*F214))</f>
        <v/>
      </c>
      <c r="H214" s="21">
        <f>4098*(0.6108*EXP(17.27*C214/(C214+237.3)))/(C214+237.3)^2</f>
        <v/>
      </c>
      <c r="I214" s="17">
        <f>IF(원데이터!J214&lt;&gt;"",원데이터!J214/10,101.3*((293-0.0065*설정!$B$3)/293)^5.26)</f>
        <v/>
      </c>
      <c r="J214" s="21">
        <f>0.000665*I214</f>
        <v/>
      </c>
      <c r="K214" s="18">
        <f>원데이터!G214*4.87/LN(67.8*설정!$B$4-5.42)</f>
        <v/>
      </c>
      <c r="L214" s="12">
        <f>1+0.033*COS(2*PI()*B214/365)</f>
        <v/>
      </c>
      <c r="M214" s="21">
        <f>0.409*SIN(2*PI()*B214/365-1.39)</f>
        <v/>
      </c>
      <c r="N214" s="21">
        <f>ACOS(-TAN(RADIANS(설정!$B$2))*TAN(M214))</f>
        <v/>
      </c>
      <c r="O214" s="18">
        <f>(24*60/PI())*0.082*L214*(N214*SIN(RADIANS(설정!$B$2))*SIN(M214)+COS(RADIANS(설정!$B$2))*COS(M214)*SIN(N214))</f>
        <v/>
      </c>
      <c r="P214" s="18">
        <f>(0.75+0.00002*설정!$B$3)*O214</f>
        <v/>
      </c>
      <c r="Q214" s="18">
        <f>IF(원데이터!K214&lt;&gt;"",원데이터!K214,(0.25+0.5*원데이터!L214/(24/PI()*N214))*O214)</f>
        <v/>
      </c>
      <c r="R214" s="18">
        <f>0.77*Q214</f>
        <v/>
      </c>
      <c r="S214" s="18">
        <f>0.000000004903*(((원데이터!B214+273.16)^4+(원데이터!C214+273.16)^4)/2)*(0.34-0.14*SQRT(G214))*(1.35*MIN(Q214/P214,1)-0.35)</f>
        <v/>
      </c>
      <c r="T214" s="18">
        <f>R214-S214</f>
        <v/>
      </c>
      <c r="U214" s="18">
        <f>(0.408*H214*T214+J214*(900/(C214+273))*K214*(F214-G214))/(H214+J214*(1+0.34*K214))</f>
        <v/>
      </c>
      <c r="V214" s="11">
        <f>IF(원데이터!A214-설정!$B$16&lt;0,"발아전",IF(원데이터!A214-설정!$B$16&lt;설정!$B$17,"초기",IF(원데이터!A214-설정!$B$16&lt;설정!$B$17+설정!$B$18,"발육",IF(원데이터!A214-설정!$B$16&lt;설정!$B$17+설정!$B$18+설정!$B$19,"중기",IF(원데이터!A214-설정!$B$16&lt;설정!$B$17+설정!$B$18+설정!$B$19+설정!$B$20,"후기","후기이후")))))</f>
        <v/>
      </c>
      <c r="W214" s="12">
        <f>IF(원데이터!A214-설정!$B$16&lt;0,0,IF(원데이터!A214-설정!$B$16&lt;설정!$B$17,설정!$B$33,IF(원데이터!A214-설정!$B$16&lt;설정!$B$17+설정!$B$18,설정!$B$33+(설정!$B$34-설정!$B$33)*(원데이터!A214-설정!$B$16-설정!$B$17+1)/설정!$B$18,IF(원데이터!A214-설정!$B$16&lt;설정!$B$17+설정!$B$18+설정!$B$19,설정!$B$34,IF(원데이터!A214-설정!$B$16&lt;설정!$B$17+설정!$B$18+설정!$B$19+설정!$B$20,설정!$B$34+(설정!$B$35-설정!$B$34)*(원데이터!A214-설정!$B$16-설정!$B$17-설정!$B$18-설정!$B$19+1)/설정!$B$20,0)))))</f>
        <v/>
      </c>
      <c r="X214" s="12">
        <f>0.108-0.0286*K214+0.0422*LN(설정!$B$5)+0.1434*LN(원데이터!E214)-0.000631*LN(설정!$B$5)^2*LN(원데이터!E214)</f>
        <v/>
      </c>
      <c r="Y214" s="17">
        <f>원데이터!M214</f>
        <v/>
      </c>
      <c r="Z214" s="18">
        <f>X214*Y214</f>
        <v/>
      </c>
      <c r="AA214" s="18">
        <f>U214*W214</f>
        <v/>
      </c>
      <c r="AB214" s="18">
        <f>Z214*W214</f>
        <v/>
      </c>
    </row>
    <row r="215">
      <c r="A215" s="15">
        <f>원데이터!A215</f>
        <v/>
      </c>
      <c r="B215" s="14">
        <f>원데이터!A215-DATE(YEAR(원데이터!A215),1,1)+1</f>
        <v/>
      </c>
      <c r="C215" s="17">
        <f>(원데이터!B215+원데이터!C215)/2</f>
        <v/>
      </c>
      <c r="D215" s="12">
        <f>0.6108*EXP(17.27*원데이터!B215/(원데이터!B215+237.3))</f>
        <v/>
      </c>
      <c r="E215" s="12">
        <f>0.6108*EXP(17.27*원데이터!C215/(원데이터!C215+237.3))</f>
        <v/>
      </c>
      <c r="F215" s="12">
        <f>(D215+E215)/2</f>
        <v/>
      </c>
      <c r="G215" s="12">
        <f>IF(원데이터!H215&lt;&gt;"",원데이터!H215/10,IF(원데이터!I215&lt;&gt;"",0.6108*EXP(17.27*원데이터!I215/(원데이터!I215+237.3)),원데이터!E215/100*F215))</f>
        <v/>
      </c>
      <c r="H215" s="21">
        <f>4098*(0.6108*EXP(17.27*C215/(C215+237.3)))/(C215+237.3)^2</f>
        <v/>
      </c>
      <c r="I215" s="17">
        <f>IF(원데이터!J215&lt;&gt;"",원데이터!J215/10,101.3*((293-0.0065*설정!$B$3)/293)^5.26)</f>
        <v/>
      </c>
      <c r="J215" s="21">
        <f>0.000665*I215</f>
        <v/>
      </c>
      <c r="K215" s="18">
        <f>원데이터!G215*4.87/LN(67.8*설정!$B$4-5.42)</f>
        <v/>
      </c>
      <c r="L215" s="12">
        <f>1+0.033*COS(2*PI()*B215/365)</f>
        <v/>
      </c>
      <c r="M215" s="21">
        <f>0.409*SIN(2*PI()*B215/365-1.39)</f>
        <v/>
      </c>
      <c r="N215" s="21">
        <f>ACOS(-TAN(RADIANS(설정!$B$2))*TAN(M215))</f>
        <v/>
      </c>
      <c r="O215" s="18">
        <f>(24*60/PI())*0.082*L215*(N215*SIN(RADIANS(설정!$B$2))*SIN(M215)+COS(RADIANS(설정!$B$2))*COS(M215)*SIN(N215))</f>
        <v/>
      </c>
      <c r="P215" s="18">
        <f>(0.75+0.00002*설정!$B$3)*O215</f>
        <v/>
      </c>
      <c r="Q215" s="18">
        <f>IF(원데이터!K215&lt;&gt;"",원데이터!K215,(0.25+0.5*원데이터!L215/(24/PI()*N215))*O215)</f>
        <v/>
      </c>
      <c r="R215" s="18">
        <f>0.77*Q215</f>
        <v/>
      </c>
      <c r="S215" s="18">
        <f>0.000000004903*(((원데이터!B215+273.16)^4+(원데이터!C215+273.16)^4)/2)*(0.34-0.14*SQRT(G215))*(1.35*MIN(Q215/P215,1)-0.35)</f>
        <v/>
      </c>
      <c r="T215" s="18">
        <f>R215-S215</f>
        <v/>
      </c>
      <c r="U215" s="18">
        <f>(0.408*H215*T215+J215*(900/(C215+273))*K215*(F215-G215))/(H215+J215*(1+0.34*K215))</f>
        <v/>
      </c>
      <c r="V215" s="11">
        <f>IF(원데이터!A215-설정!$B$16&lt;0,"발아전",IF(원데이터!A215-설정!$B$16&lt;설정!$B$17,"초기",IF(원데이터!A215-설정!$B$16&lt;설정!$B$17+설정!$B$18,"발육",IF(원데이터!A215-설정!$B$16&lt;설정!$B$17+설정!$B$18+설정!$B$19,"중기",IF(원데이터!A215-설정!$B$16&lt;설정!$B$17+설정!$B$18+설정!$B$19+설정!$B$20,"후기","후기이후")))))</f>
        <v/>
      </c>
      <c r="W215" s="12">
        <f>IF(원데이터!A215-설정!$B$16&lt;0,0,IF(원데이터!A215-설정!$B$16&lt;설정!$B$17,설정!$B$33,IF(원데이터!A215-설정!$B$16&lt;설정!$B$17+설정!$B$18,설정!$B$33+(설정!$B$34-설정!$B$33)*(원데이터!A215-설정!$B$16-설정!$B$17+1)/설정!$B$18,IF(원데이터!A215-설정!$B$16&lt;설정!$B$17+설정!$B$18+설정!$B$19,설정!$B$34,IF(원데이터!A215-설정!$B$16&lt;설정!$B$17+설정!$B$18+설정!$B$19+설정!$B$20,설정!$B$34+(설정!$B$35-설정!$B$34)*(원데이터!A215-설정!$B$16-설정!$B$17-설정!$B$18-설정!$B$19+1)/설정!$B$20,0)))))</f>
        <v/>
      </c>
      <c r="X215" s="12">
        <f>0.108-0.0286*K215+0.0422*LN(설정!$B$5)+0.1434*LN(원데이터!E215)-0.000631*LN(설정!$B$5)^2*LN(원데이터!E215)</f>
        <v/>
      </c>
      <c r="Y215" s="17">
        <f>원데이터!M215</f>
        <v/>
      </c>
      <c r="Z215" s="18">
        <f>X215*Y215</f>
        <v/>
      </c>
      <c r="AA215" s="18">
        <f>U215*W215</f>
        <v/>
      </c>
      <c r="AB215" s="18">
        <f>Z215*W215</f>
        <v/>
      </c>
    </row>
    <row r="216">
      <c r="A216" s="15">
        <f>원데이터!A216</f>
        <v/>
      </c>
      <c r="B216" s="14">
        <f>원데이터!A216-DATE(YEAR(원데이터!A216),1,1)+1</f>
        <v/>
      </c>
      <c r="C216" s="17">
        <f>(원데이터!B216+원데이터!C216)/2</f>
        <v/>
      </c>
      <c r="D216" s="12">
        <f>0.6108*EXP(17.27*원데이터!B216/(원데이터!B216+237.3))</f>
        <v/>
      </c>
      <c r="E216" s="12">
        <f>0.6108*EXP(17.27*원데이터!C216/(원데이터!C216+237.3))</f>
        <v/>
      </c>
      <c r="F216" s="12">
        <f>(D216+E216)/2</f>
        <v/>
      </c>
      <c r="G216" s="12">
        <f>IF(원데이터!H216&lt;&gt;"",원데이터!H216/10,IF(원데이터!I216&lt;&gt;"",0.6108*EXP(17.27*원데이터!I216/(원데이터!I216+237.3)),원데이터!E216/100*F216))</f>
        <v/>
      </c>
      <c r="H216" s="21">
        <f>4098*(0.6108*EXP(17.27*C216/(C216+237.3)))/(C216+237.3)^2</f>
        <v/>
      </c>
      <c r="I216" s="17">
        <f>IF(원데이터!J216&lt;&gt;"",원데이터!J216/10,101.3*((293-0.0065*설정!$B$3)/293)^5.26)</f>
        <v/>
      </c>
      <c r="J216" s="21">
        <f>0.000665*I216</f>
        <v/>
      </c>
      <c r="K216" s="18">
        <f>원데이터!G216*4.87/LN(67.8*설정!$B$4-5.42)</f>
        <v/>
      </c>
      <c r="L216" s="12">
        <f>1+0.033*COS(2*PI()*B216/365)</f>
        <v/>
      </c>
      <c r="M216" s="21">
        <f>0.409*SIN(2*PI()*B216/365-1.39)</f>
        <v/>
      </c>
      <c r="N216" s="21">
        <f>ACOS(-TAN(RADIANS(설정!$B$2))*TAN(M216))</f>
        <v/>
      </c>
      <c r="O216" s="18">
        <f>(24*60/PI())*0.082*L216*(N216*SIN(RADIANS(설정!$B$2))*SIN(M216)+COS(RADIANS(설정!$B$2))*COS(M216)*SIN(N216))</f>
        <v/>
      </c>
      <c r="P216" s="18">
        <f>(0.75+0.00002*설정!$B$3)*O216</f>
        <v/>
      </c>
      <c r="Q216" s="18">
        <f>IF(원데이터!K216&lt;&gt;"",원데이터!K216,(0.25+0.5*원데이터!L216/(24/PI()*N216))*O216)</f>
        <v/>
      </c>
      <c r="R216" s="18">
        <f>0.77*Q216</f>
        <v/>
      </c>
      <c r="S216" s="18">
        <f>0.000000004903*(((원데이터!B216+273.16)^4+(원데이터!C216+273.16)^4)/2)*(0.34-0.14*SQRT(G216))*(1.35*MIN(Q216/P216,1)-0.35)</f>
        <v/>
      </c>
      <c r="T216" s="18">
        <f>R216-S216</f>
        <v/>
      </c>
      <c r="U216" s="18">
        <f>(0.408*H216*T216+J216*(900/(C216+273))*K216*(F216-G216))/(H216+J216*(1+0.34*K216))</f>
        <v/>
      </c>
      <c r="V216" s="11">
        <f>IF(원데이터!A216-설정!$B$16&lt;0,"발아전",IF(원데이터!A216-설정!$B$16&lt;설정!$B$17,"초기",IF(원데이터!A216-설정!$B$16&lt;설정!$B$17+설정!$B$18,"발육",IF(원데이터!A216-설정!$B$16&lt;설정!$B$17+설정!$B$18+설정!$B$19,"중기",IF(원데이터!A216-설정!$B$16&lt;설정!$B$17+설정!$B$18+설정!$B$19+설정!$B$20,"후기","후기이후")))))</f>
        <v/>
      </c>
      <c r="W216" s="12">
        <f>IF(원데이터!A216-설정!$B$16&lt;0,0,IF(원데이터!A216-설정!$B$16&lt;설정!$B$17,설정!$B$33,IF(원데이터!A216-설정!$B$16&lt;설정!$B$17+설정!$B$18,설정!$B$33+(설정!$B$34-설정!$B$33)*(원데이터!A216-설정!$B$16-설정!$B$17+1)/설정!$B$18,IF(원데이터!A216-설정!$B$16&lt;설정!$B$17+설정!$B$18+설정!$B$19,설정!$B$34,IF(원데이터!A216-설정!$B$16&lt;설정!$B$17+설정!$B$18+설정!$B$19+설정!$B$20,설정!$B$34+(설정!$B$35-설정!$B$34)*(원데이터!A216-설정!$B$16-설정!$B$17-설정!$B$18-설정!$B$19+1)/설정!$B$20,0)))))</f>
        <v/>
      </c>
      <c r="X216" s="12">
        <f>0.108-0.0286*K216+0.0422*LN(설정!$B$5)+0.1434*LN(원데이터!E216)-0.000631*LN(설정!$B$5)^2*LN(원데이터!E216)</f>
        <v/>
      </c>
      <c r="Y216" s="17">
        <f>원데이터!M216</f>
        <v/>
      </c>
      <c r="Z216" s="18">
        <f>X216*Y216</f>
        <v/>
      </c>
      <c r="AA216" s="18">
        <f>U216*W216</f>
        <v/>
      </c>
      <c r="AB216" s="18">
        <f>Z216*W216</f>
        <v/>
      </c>
    </row>
    <row r="217">
      <c r="A217" s="15">
        <f>원데이터!A217</f>
        <v/>
      </c>
      <c r="B217" s="14">
        <f>원데이터!A217-DATE(YEAR(원데이터!A217),1,1)+1</f>
        <v/>
      </c>
      <c r="C217" s="17">
        <f>(원데이터!B217+원데이터!C217)/2</f>
        <v/>
      </c>
      <c r="D217" s="12">
        <f>0.6108*EXP(17.27*원데이터!B217/(원데이터!B217+237.3))</f>
        <v/>
      </c>
      <c r="E217" s="12">
        <f>0.6108*EXP(17.27*원데이터!C217/(원데이터!C217+237.3))</f>
        <v/>
      </c>
      <c r="F217" s="12">
        <f>(D217+E217)/2</f>
        <v/>
      </c>
      <c r="G217" s="12">
        <f>IF(원데이터!H217&lt;&gt;"",원데이터!H217/10,IF(원데이터!I217&lt;&gt;"",0.6108*EXP(17.27*원데이터!I217/(원데이터!I217+237.3)),원데이터!E217/100*F217))</f>
        <v/>
      </c>
      <c r="H217" s="21">
        <f>4098*(0.6108*EXP(17.27*C217/(C217+237.3)))/(C217+237.3)^2</f>
        <v/>
      </c>
      <c r="I217" s="17">
        <f>IF(원데이터!J217&lt;&gt;"",원데이터!J217/10,101.3*((293-0.0065*설정!$B$3)/293)^5.26)</f>
        <v/>
      </c>
      <c r="J217" s="21">
        <f>0.000665*I217</f>
        <v/>
      </c>
      <c r="K217" s="18">
        <f>원데이터!G217*4.87/LN(67.8*설정!$B$4-5.42)</f>
        <v/>
      </c>
      <c r="L217" s="12">
        <f>1+0.033*COS(2*PI()*B217/365)</f>
        <v/>
      </c>
      <c r="M217" s="21">
        <f>0.409*SIN(2*PI()*B217/365-1.39)</f>
        <v/>
      </c>
      <c r="N217" s="21">
        <f>ACOS(-TAN(RADIANS(설정!$B$2))*TAN(M217))</f>
        <v/>
      </c>
      <c r="O217" s="18">
        <f>(24*60/PI())*0.082*L217*(N217*SIN(RADIANS(설정!$B$2))*SIN(M217)+COS(RADIANS(설정!$B$2))*COS(M217)*SIN(N217))</f>
        <v/>
      </c>
      <c r="P217" s="18">
        <f>(0.75+0.00002*설정!$B$3)*O217</f>
        <v/>
      </c>
      <c r="Q217" s="18">
        <f>IF(원데이터!K217&lt;&gt;"",원데이터!K217,(0.25+0.5*원데이터!L217/(24/PI()*N217))*O217)</f>
        <v/>
      </c>
      <c r="R217" s="18">
        <f>0.77*Q217</f>
        <v/>
      </c>
      <c r="S217" s="18">
        <f>0.000000004903*(((원데이터!B217+273.16)^4+(원데이터!C217+273.16)^4)/2)*(0.34-0.14*SQRT(G217))*(1.35*MIN(Q217/P217,1)-0.35)</f>
        <v/>
      </c>
      <c r="T217" s="18">
        <f>R217-S217</f>
        <v/>
      </c>
      <c r="U217" s="18">
        <f>(0.408*H217*T217+J217*(900/(C217+273))*K217*(F217-G217))/(H217+J217*(1+0.34*K217))</f>
        <v/>
      </c>
      <c r="V217" s="11">
        <f>IF(원데이터!A217-설정!$B$16&lt;0,"발아전",IF(원데이터!A217-설정!$B$16&lt;설정!$B$17,"초기",IF(원데이터!A217-설정!$B$16&lt;설정!$B$17+설정!$B$18,"발육",IF(원데이터!A217-설정!$B$16&lt;설정!$B$17+설정!$B$18+설정!$B$19,"중기",IF(원데이터!A217-설정!$B$16&lt;설정!$B$17+설정!$B$18+설정!$B$19+설정!$B$20,"후기","후기이후")))))</f>
        <v/>
      </c>
      <c r="W217" s="12">
        <f>IF(원데이터!A217-설정!$B$16&lt;0,0,IF(원데이터!A217-설정!$B$16&lt;설정!$B$17,설정!$B$33,IF(원데이터!A217-설정!$B$16&lt;설정!$B$17+설정!$B$18,설정!$B$33+(설정!$B$34-설정!$B$33)*(원데이터!A217-설정!$B$16-설정!$B$17+1)/설정!$B$18,IF(원데이터!A217-설정!$B$16&lt;설정!$B$17+설정!$B$18+설정!$B$19,설정!$B$34,IF(원데이터!A217-설정!$B$16&lt;설정!$B$17+설정!$B$18+설정!$B$19+설정!$B$20,설정!$B$34+(설정!$B$35-설정!$B$34)*(원데이터!A217-설정!$B$16-설정!$B$17-설정!$B$18-설정!$B$19+1)/설정!$B$20,0)))))</f>
        <v/>
      </c>
      <c r="X217" s="12">
        <f>0.108-0.0286*K217+0.0422*LN(설정!$B$5)+0.1434*LN(원데이터!E217)-0.000631*LN(설정!$B$5)^2*LN(원데이터!E217)</f>
        <v/>
      </c>
      <c r="Y217" s="17">
        <f>원데이터!M217</f>
        <v/>
      </c>
      <c r="Z217" s="18">
        <f>X217*Y217</f>
        <v/>
      </c>
      <c r="AA217" s="18">
        <f>U217*W217</f>
        <v/>
      </c>
      <c r="AB217" s="18">
        <f>Z217*W217</f>
        <v/>
      </c>
    </row>
    <row r="218">
      <c r="A218" s="15">
        <f>원데이터!A218</f>
        <v/>
      </c>
      <c r="B218" s="14">
        <f>원데이터!A218-DATE(YEAR(원데이터!A218),1,1)+1</f>
        <v/>
      </c>
      <c r="C218" s="17">
        <f>(원데이터!B218+원데이터!C218)/2</f>
        <v/>
      </c>
      <c r="D218" s="12">
        <f>0.6108*EXP(17.27*원데이터!B218/(원데이터!B218+237.3))</f>
        <v/>
      </c>
      <c r="E218" s="12">
        <f>0.6108*EXP(17.27*원데이터!C218/(원데이터!C218+237.3))</f>
        <v/>
      </c>
      <c r="F218" s="12">
        <f>(D218+E218)/2</f>
        <v/>
      </c>
      <c r="G218" s="12">
        <f>IF(원데이터!H218&lt;&gt;"",원데이터!H218/10,IF(원데이터!I218&lt;&gt;"",0.6108*EXP(17.27*원데이터!I218/(원데이터!I218+237.3)),원데이터!E218/100*F218))</f>
        <v/>
      </c>
      <c r="H218" s="21">
        <f>4098*(0.6108*EXP(17.27*C218/(C218+237.3)))/(C218+237.3)^2</f>
        <v/>
      </c>
      <c r="I218" s="17">
        <f>IF(원데이터!J218&lt;&gt;"",원데이터!J218/10,101.3*((293-0.0065*설정!$B$3)/293)^5.26)</f>
        <v/>
      </c>
      <c r="J218" s="21">
        <f>0.000665*I218</f>
        <v/>
      </c>
      <c r="K218" s="18">
        <f>원데이터!G218*4.87/LN(67.8*설정!$B$4-5.42)</f>
        <v/>
      </c>
      <c r="L218" s="12">
        <f>1+0.033*COS(2*PI()*B218/365)</f>
        <v/>
      </c>
      <c r="M218" s="21">
        <f>0.409*SIN(2*PI()*B218/365-1.39)</f>
        <v/>
      </c>
      <c r="N218" s="21">
        <f>ACOS(-TAN(RADIANS(설정!$B$2))*TAN(M218))</f>
        <v/>
      </c>
      <c r="O218" s="18">
        <f>(24*60/PI())*0.082*L218*(N218*SIN(RADIANS(설정!$B$2))*SIN(M218)+COS(RADIANS(설정!$B$2))*COS(M218)*SIN(N218))</f>
        <v/>
      </c>
      <c r="P218" s="18">
        <f>(0.75+0.00002*설정!$B$3)*O218</f>
        <v/>
      </c>
      <c r="Q218" s="18">
        <f>IF(원데이터!K218&lt;&gt;"",원데이터!K218,(0.25+0.5*원데이터!L218/(24/PI()*N218))*O218)</f>
        <v/>
      </c>
      <c r="R218" s="18">
        <f>0.77*Q218</f>
        <v/>
      </c>
      <c r="S218" s="18">
        <f>0.000000004903*(((원데이터!B218+273.16)^4+(원데이터!C218+273.16)^4)/2)*(0.34-0.14*SQRT(G218))*(1.35*MIN(Q218/P218,1)-0.35)</f>
        <v/>
      </c>
      <c r="T218" s="18">
        <f>R218-S218</f>
        <v/>
      </c>
      <c r="U218" s="18">
        <f>(0.408*H218*T218+J218*(900/(C218+273))*K218*(F218-G218))/(H218+J218*(1+0.34*K218))</f>
        <v/>
      </c>
      <c r="V218" s="11">
        <f>IF(원데이터!A218-설정!$B$16&lt;0,"발아전",IF(원데이터!A218-설정!$B$16&lt;설정!$B$17,"초기",IF(원데이터!A218-설정!$B$16&lt;설정!$B$17+설정!$B$18,"발육",IF(원데이터!A218-설정!$B$16&lt;설정!$B$17+설정!$B$18+설정!$B$19,"중기",IF(원데이터!A218-설정!$B$16&lt;설정!$B$17+설정!$B$18+설정!$B$19+설정!$B$20,"후기","후기이후")))))</f>
        <v/>
      </c>
      <c r="W218" s="12">
        <f>IF(원데이터!A218-설정!$B$16&lt;0,0,IF(원데이터!A218-설정!$B$16&lt;설정!$B$17,설정!$B$33,IF(원데이터!A218-설정!$B$16&lt;설정!$B$17+설정!$B$18,설정!$B$33+(설정!$B$34-설정!$B$33)*(원데이터!A218-설정!$B$16-설정!$B$17+1)/설정!$B$18,IF(원데이터!A218-설정!$B$16&lt;설정!$B$17+설정!$B$18+설정!$B$19,설정!$B$34,IF(원데이터!A218-설정!$B$16&lt;설정!$B$17+설정!$B$18+설정!$B$19+설정!$B$20,설정!$B$34+(설정!$B$35-설정!$B$34)*(원데이터!A218-설정!$B$16-설정!$B$17-설정!$B$18-설정!$B$19+1)/설정!$B$20,0)))))</f>
        <v/>
      </c>
      <c r="X218" s="12">
        <f>0.108-0.0286*K218+0.0422*LN(설정!$B$5)+0.1434*LN(원데이터!E218)-0.000631*LN(설정!$B$5)^2*LN(원데이터!E218)</f>
        <v/>
      </c>
      <c r="Y218" s="17">
        <f>원데이터!M218</f>
        <v/>
      </c>
      <c r="Z218" s="18">
        <f>X218*Y218</f>
        <v/>
      </c>
      <c r="AA218" s="18">
        <f>U218*W218</f>
        <v/>
      </c>
      <c r="AB218" s="18">
        <f>Z218*W218</f>
        <v/>
      </c>
    </row>
    <row r="219">
      <c r="A219" s="15">
        <f>원데이터!A219</f>
        <v/>
      </c>
      <c r="B219" s="14">
        <f>원데이터!A219-DATE(YEAR(원데이터!A219),1,1)+1</f>
        <v/>
      </c>
      <c r="C219" s="17">
        <f>(원데이터!B219+원데이터!C219)/2</f>
        <v/>
      </c>
      <c r="D219" s="12">
        <f>0.6108*EXP(17.27*원데이터!B219/(원데이터!B219+237.3))</f>
        <v/>
      </c>
      <c r="E219" s="12">
        <f>0.6108*EXP(17.27*원데이터!C219/(원데이터!C219+237.3))</f>
        <v/>
      </c>
      <c r="F219" s="12">
        <f>(D219+E219)/2</f>
        <v/>
      </c>
      <c r="G219" s="12">
        <f>IF(원데이터!H219&lt;&gt;"",원데이터!H219/10,IF(원데이터!I219&lt;&gt;"",0.6108*EXP(17.27*원데이터!I219/(원데이터!I219+237.3)),원데이터!E219/100*F219))</f>
        <v/>
      </c>
      <c r="H219" s="21">
        <f>4098*(0.6108*EXP(17.27*C219/(C219+237.3)))/(C219+237.3)^2</f>
        <v/>
      </c>
      <c r="I219" s="17">
        <f>IF(원데이터!J219&lt;&gt;"",원데이터!J219/10,101.3*((293-0.0065*설정!$B$3)/293)^5.26)</f>
        <v/>
      </c>
      <c r="J219" s="21">
        <f>0.000665*I219</f>
        <v/>
      </c>
      <c r="K219" s="18">
        <f>원데이터!G219*4.87/LN(67.8*설정!$B$4-5.42)</f>
        <v/>
      </c>
      <c r="L219" s="12">
        <f>1+0.033*COS(2*PI()*B219/365)</f>
        <v/>
      </c>
      <c r="M219" s="21">
        <f>0.409*SIN(2*PI()*B219/365-1.39)</f>
        <v/>
      </c>
      <c r="N219" s="21">
        <f>ACOS(-TAN(RADIANS(설정!$B$2))*TAN(M219))</f>
        <v/>
      </c>
      <c r="O219" s="18">
        <f>(24*60/PI())*0.082*L219*(N219*SIN(RADIANS(설정!$B$2))*SIN(M219)+COS(RADIANS(설정!$B$2))*COS(M219)*SIN(N219))</f>
        <v/>
      </c>
      <c r="P219" s="18">
        <f>(0.75+0.00002*설정!$B$3)*O219</f>
        <v/>
      </c>
      <c r="Q219" s="18">
        <f>IF(원데이터!K219&lt;&gt;"",원데이터!K219,(0.25+0.5*원데이터!L219/(24/PI()*N219))*O219)</f>
        <v/>
      </c>
      <c r="R219" s="18">
        <f>0.77*Q219</f>
        <v/>
      </c>
      <c r="S219" s="18">
        <f>0.000000004903*(((원데이터!B219+273.16)^4+(원데이터!C219+273.16)^4)/2)*(0.34-0.14*SQRT(G219))*(1.35*MIN(Q219/P219,1)-0.35)</f>
        <v/>
      </c>
      <c r="T219" s="18">
        <f>R219-S219</f>
        <v/>
      </c>
      <c r="U219" s="18">
        <f>(0.408*H219*T219+J219*(900/(C219+273))*K219*(F219-G219))/(H219+J219*(1+0.34*K219))</f>
        <v/>
      </c>
      <c r="V219" s="11">
        <f>IF(원데이터!A219-설정!$B$16&lt;0,"발아전",IF(원데이터!A219-설정!$B$16&lt;설정!$B$17,"초기",IF(원데이터!A219-설정!$B$16&lt;설정!$B$17+설정!$B$18,"발육",IF(원데이터!A219-설정!$B$16&lt;설정!$B$17+설정!$B$18+설정!$B$19,"중기",IF(원데이터!A219-설정!$B$16&lt;설정!$B$17+설정!$B$18+설정!$B$19+설정!$B$20,"후기","후기이후")))))</f>
        <v/>
      </c>
      <c r="W219" s="12">
        <f>IF(원데이터!A219-설정!$B$16&lt;0,0,IF(원데이터!A219-설정!$B$16&lt;설정!$B$17,설정!$B$33,IF(원데이터!A219-설정!$B$16&lt;설정!$B$17+설정!$B$18,설정!$B$33+(설정!$B$34-설정!$B$33)*(원데이터!A219-설정!$B$16-설정!$B$17+1)/설정!$B$18,IF(원데이터!A219-설정!$B$16&lt;설정!$B$17+설정!$B$18+설정!$B$19,설정!$B$34,IF(원데이터!A219-설정!$B$16&lt;설정!$B$17+설정!$B$18+설정!$B$19+설정!$B$20,설정!$B$34+(설정!$B$35-설정!$B$34)*(원데이터!A219-설정!$B$16-설정!$B$17-설정!$B$18-설정!$B$19+1)/설정!$B$20,0)))))</f>
        <v/>
      </c>
      <c r="X219" s="12">
        <f>0.108-0.0286*K219+0.0422*LN(설정!$B$5)+0.1434*LN(원데이터!E219)-0.000631*LN(설정!$B$5)^2*LN(원데이터!E219)</f>
        <v/>
      </c>
      <c r="Y219" s="17">
        <f>원데이터!M219</f>
        <v/>
      </c>
      <c r="Z219" s="18">
        <f>X219*Y219</f>
        <v/>
      </c>
      <c r="AA219" s="18">
        <f>U219*W219</f>
        <v/>
      </c>
      <c r="AB219" s="18">
        <f>Z219*W219</f>
        <v/>
      </c>
    </row>
    <row r="220">
      <c r="A220" s="15">
        <f>원데이터!A220</f>
        <v/>
      </c>
      <c r="B220" s="14">
        <f>원데이터!A220-DATE(YEAR(원데이터!A220),1,1)+1</f>
        <v/>
      </c>
      <c r="C220" s="17">
        <f>(원데이터!B220+원데이터!C220)/2</f>
        <v/>
      </c>
      <c r="D220" s="12">
        <f>0.6108*EXP(17.27*원데이터!B220/(원데이터!B220+237.3))</f>
        <v/>
      </c>
      <c r="E220" s="12">
        <f>0.6108*EXP(17.27*원데이터!C220/(원데이터!C220+237.3))</f>
        <v/>
      </c>
      <c r="F220" s="12">
        <f>(D220+E220)/2</f>
        <v/>
      </c>
      <c r="G220" s="12">
        <f>IF(원데이터!H220&lt;&gt;"",원데이터!H220/10,IF(원데이터!I220&lt;&gt;"",0.6108*EXP(17.27*원데이터!I220/(원데이터!I220+237.3)),원데이터!E220/100*F220))</f>
        <v/>
      </c>
      <c r="H220" s="21">
        <f>4098*(0.6108*EXP(17.27*C220/(C220+237.3)))/(C220+237.3)^2</f>
        <v/>
      </c>
      <c r="I220" s="17">
        <f>IF(원데이터!J220&lt;&gt;"",원데이터!J220/10,101.3*((293-0.0065*설정!$B$3)/293)^5.26)</f>
        <v/>
      </c>
      <c r="J220" s="21">
        <f>0.000665*I220</f>
        <v/>
      </c>
      <c r="K220" s="18">
        <f>원데이터!G220*4.87/LN(67.8*설정!$B$4-5.42)</f>
        <v/>
      </c>
      <c r="L220" s="12">
        <f>1+0.033*COS(2*PI()*B220/365)</f>
        <v/>
      </c>
      <c r="M220" s="21">
        <f>0.409*SIN(2*PI()*B220/365-1.39)</f>
        <v/>
      </c>
      <c r="N220" s="21">
        <f>ACOS(-TAN(RADIANS(설정!$B$2))*TAN(M220))</f>
        <v/>
      </c>
      <c r="O220" s="18">
        <f>(24*60/PI())*0.082*L220*(N220*SIN(RADIANS(설정!$B$2))*SIN(M220)+COS(RADIANS(설정!$B$2))*COS(M220)*SIN(N220))</f>
        <v/>
      </c>
      <c r="P220" s="18">
        <f>(0.75+0.00002*설정!$B$3)*O220</f>
        <v/>
      </c>
      <c r="Q220" s="18">
        <f>IF(원데이터!K220&lt;&gt;"",원데이터!K220,(0.25+0.5*원데이터!L220/(24/PI()*N220))*O220)</f>
        <v/>
      </c>
      <c r="R220" s="18">
        <f>0.77*Q220</f>
        <v/>
      </c>
      <c r="S220" s="18">
        <f>0.000000004903*(((원데이터!B220+273.16)^4+(원데이터!C220+273.16)^4)/2)*(0.34-0.14*SQRT(G220))*(1.35*MIN(Q220/P220,1)-0.35)</f>
        <v/>
      </c>
      <c r="T220" s="18">
        <f>R220-S220</f>
        <v/>
      </c>
      <c r="U220" s="18">
        <f>(0.408*H220*T220+J220*(900/(C220+273))*K220*(F220-G220))/(H220+J220*(1+0.34*K220))</f>
        <v/>
      </c>
      <c r="V220" s="11">
        <f>IF(원데이터!A220-설정!$B$16&lt;0,"발아전",IF(원데이터!A220-설정!$B$16&lt;설정!$B$17,"초기",IF(원데이터!A220-설정!$B$16&lt;설정!$B$17+설정!$B$18,"발육",IF(원데이터!A220-설정!$B$16&lt;설정!$B$17+설정!$B$18+설정!$B$19,"중기",IF(원데이터!A220-설정!$B$16&lt;설정!$B$17+설정!$B$18+설정!$B$19+설정!$B$20,"후기","후기이후")))))</f>
        <v/>
      </c>
      <c r="W220" s="12">
        <f>IF(원데이터!A220-설정!$B$16&lt;0,0,IF(원데이터!A220-설정!$B$16&lt;설정!$B$17,설정!$B$33,IF(원데이터!A220-설정!$B$16&lt;설정!$B$17+설정!$B$18,설정!$B$33+(설정!$B$34-설정!$B$33)*(원데이터!A220-설정!$B$16-설정!$B$17+1)/설정!$B$18,IF(원데이터!A220-설정!$B$16&lt;설정!$B$17+설정!$B$18+설정!$B$19,설정!$B$34,IF(원데이터!A220-설정!$B$16&lt;설정!$B$17+설정!$B$18+설정!$B$19+설정!$B$20,설정!$B$34+(설정!$B$35-설정!$B$34)*(원데이터!A220-설정!$B$16-설정!$B$17-설정!$B$18-설정!$B$19+1)/설정!$B$20,0)))))</f>
        <v/>
      </c>
      <c r="X220" s="12">
        <f>0.108-0.0286*K220+0.0422*LN(설정!$B$5)+0.1434*LN(원데이터!E220)-0.000631*LN(설정!$B$5)^2*LN(원데이터!E220)</f>
        <v/>
      </c>
      <c r="Y220" s="17">
        <f>원데이터!M220</f>
        <v/>
      </c>
      <c r="Z220" s="18">
        <f>X220*Y220</f>
        <v/>
      </c>
      <c r="AA220" s="18">
        <f>U220*W220</f>
        <v/>
      </c>
      <c r="AB220" s="18">
        <f>Z220*W220</f>
        <v/>
      </c>
    </row>
    <row r="221">
      <c r="A221" s="15">
        <f>원데이터!A221</f>
        <v/>
      </c>
      <c r="B221" s="14">
        <f>원데이터!A221-DATE(YEAR(원데이터!A221),1,1)+1</f>
        <v/>
      </c>
      <c r="C221" s="17">
        <f>(원데이터!B221+원데이터!C221)/2</f>
        <v/>
      </c>
      <c r="D221" s="12">
        <f>0.6108*EXP(17.27*원데이터!B221/(원데이터!B221+237.3))</f>
        <v/>
      </c>
      <c r="E221" s="12">
        <f>0.6108*EXP(17.27*원데이터!C221/(원데이터!C221+237.3))</f>
        <v/>
      </c>
      <c r="F221" s="12">
        <f>(D221+E221)/2</f>
        <v/>
      </c>
      <c r="G221" s="12">
        <f>IF(원데이터!H221&lt;&gt;"",원데이터!H221/10,IF(원데이터!I221&lt;&gt;"",0.6108*EXP(17.27*원데이터!I221/(원데이터!I221+237.3)),원데이터!E221/100*F221))</f>
        <v/>
      </c>
      <c r="H221" s="21">
        <f>4098*(0.6108*EXP(17.27*C221/(C221+237.3)))/(C221+237.3)^2</f>
        <v/>
      </c>
      <c r="I221" s="17">
        <f>IF(원데이터!J221&lt;&gt;"",원데이터!J221/10,101.3*((293-0.0065*설정!$B$3)/293)^5.26)</f>
        <v/>
      </c>
      <c r="J221" s="21">
        <f>0.000665*I221</f>
        <v/>
      </c>
      <c r="K221" s="18">
        <f>원데이터!G221*4.87/LN(67.8*설정!$B$4-5.42)</f>
        <v/>
      </c>
      <c r="L221" s="12">
        <f>1+0.033*COS(2*PI()*B221/365)</f>
        <v/>
      </c>
      <c r="M221" s="21">
        <f>0.409*SIN(2*PI()*B221/365-1.39)</f>
        <v/>
      </c>
      <c r="N221" s="21">
        <f>ACOS(-TAN(RADIANS(설정!$B$2))*TAN(M221))</f>
        <v/>
      </c>
      <c r="O221" s="18">
        <f>(24*60/PI())*0.082*L221*(N221*SIN(RADIANS(설정!$B$2))*SIN(M221)+COS(RADIANS(설정!$B$2))*COS(M221)*SIN(N221))</f>
        <v/>
      </c>
      <c r="P221" s="18">
        <f>(0.75+0.00002*설정!$B$3)*O221</f>
        <v/>
      </c>
      <c r="Q221" s="18">
        <f>IF(원데이터!K221&lt;&gt;"",원데이터!K221,(0.25+0.5*원데이터!L221/(24/PI()*N221))*O221)</f>
        <v/>
      </c>
      <c r="R221" s="18">
        <f>0.77*Q221</f>
        <v/>
      </c>
      <c r="S221" s="18">
        <f>0.000000004903*(((원데이터!B221+273.16)^4+(원데이터!C221+273.16)^4)/2)*(0.34-0.14*SQRT(G221))*(1.35*MIN(Q221/P221,1)-0.35)</f>
        <v/>
      </c>
      <c r="T221" s="18">
        <f>R221-S221</f>
        <v/>
      </c>
      <c r="U221" s="18">
        <f>(0.408*H221*T221+J221*(900/(C221+273))*K221*(F221-G221))/(H221+J221*(1+0.34*K221))</f>
        <v/>
      </c>
      <c r="V221" s="11">
        <f>IF(원데이터!A221-설정!$B$16&lt;0,"발아전",IF(원데이터!A221-설정!$B$16&lt;설정!$B$17,"초기",IF(원데이터!A221-설정!$B$16&lt;설정!$B$17+설정!$B$18,"발육",IF(원데이터!A221-설정!$B$16&lt;설정!$B$17+설정!$B$18+설정!$B$19,"중기",IF(원데이터!A221-설정!$B$16&lt;설정!$B$17+설정!$B$18+설정!$B$19+설정!$B$20,"후기","후기이후")))))</f>
        <v/>
      </c>
      <c r="W221" s="12">
        <f>IF(원데이터!A221-설정!$B$16&lt;0,0,IF(원데이터!A221-설정!$B$16&lt;설정!$B$17,설정!$B$33,IF(원데이터!A221-설정!$B$16&lt;설정!$B$17+설정!$B$18,설정!$B$33+(설정!$B$34-설정!$B$33)*(원데이터!A221-설정!$B$16-설정!$B$17+1)/설정!$B$18,IF(원데이터!A221-설정!$B$16&lt;설정!$B$17+설정!$B$18+설정!$B$19,설정!$B$34,IF(원데이터!A221-설정!$B$16&lt;설정!$B$17+설정!$B$18+설정!$B$19+설정!$B$20,설정!$B$34+(설정!$B$35-설정!$B$34)*(원데이터!A221-설정!$B$16-설정!$B$17-설정!$B$18-설정!$B$19+1)/설정!$B$20,0)))))</f>
        <v/>
      </c>
      <c r="X221" s="12">
        <f>0.108-0.0286*K221+0.0422*LN(설정!$B$5)+0.1434*LN(원데이터!E221)-0.000631*LN(설정!$B$5)^2*LN(원데이터!E221)</f>
        <v/>
      </c>
      <c r="Y221" s="17">
        <f>원데이터!M221</f>
        <v/>
      </c>
      <c r="Z221" s="18">
        <f>X221*Y221</f>
        <v/>
      </c>
      <c r="AA221" s="18">
        <f>U221*W221</f>
        <v/>
      </c>
      <c r="AB221" s="18">
        <f>Z221*W221</f>
        <v/>
      </c>
    </row>
    <row r="222">
      <c r="A222" s="15">
        <f>원데이터!A222</f>
        <v/>
      </c>
      <c r="B222" s="14">
        <f>원데이터!A222-DATE(YEAR(원데이터!A222),1,1)+1</f>
        <v/>
      </c>
      <c r="C222" s="17">
        <f>(원데이터!B222+원데이터!C222)/2</f>
        <v/>
      </c>
      <c r="D222" s="12">
        <f>0.6108*EXP(17.27*원데이터!B222/(원데이터!B222+237.3))</f>
        <v/>
      </c>
      <c r="E222" s="12">
        <f>0.6108*EXP(17.27*원데이터!C222/(원데이터!C222+237.3))</f>
        <v/>
      </c>
      <c r="F222" s="12">
        <f>(D222+E222)/2</f>
        <v/>
      </c>
      <c r="G222" s="12">
        <f>IF(원데이터!H222&lt;&gt;"",원데이터!H222/10,IF(원데이터!I222&lt;&gt;"",0.6108*EXP(17.27*원데이터!I222/(원데이터!I222+237.3)),원데이터!E222/100*F222))</f>
        <v/>
      </c>
      <c r="H222" s="21">
        <f>4098*(0.6108*EXP(17.27*C222/(C222+237.3)))/(C222+237.3)^2</f>
        <v/>
      </c>
      <c r="I222" s="17">
        <f>IF(원데이터!J222&lt;&gt;"",원데이터!J222/10,101.3*((293-0.0065*설정!$B$3)/293)^5.26)</f>
        <v/>
      </c>
      <c r="J222" s="21">
        <f>0.000665*I222</f>
        <v/>
      </c>
      <c r="K222" s="18">
        <f>원데이터!G222*4.87/LN(67.8*설정!$B$4-5.42)</f>
        <v/>
      </c>
      <c r="L222" s="12">
        <f>1+0.033*COS(2*PI()*B222/365)</f>
        <v/>
      </c>
      <c r="M222" s="21">
        <f>0.409*SIN(2*PI()*B222/365-1.39)</f>
        <v/>
      </c>
      <c r="N222" s="21">
        <f>ACOS(-TAN(RADIANS(설정!$B$2))*TAN(M222))</f>
        <v/>
      </c>
      <c r="O222" s="18">
        <f>(24*60/PI())*0.082*L222*(N222*SIN(RADIANS(설정!$B$2))*SIN(M222)+COS(RADIANS(설정!$B$2))*COS(M222)*SIN(N222))</f>
        <v/>
      </c>
      <c r="P222" s="18">
        <f>(0.75+0.00002*설정!$B$3)*O222</f>
        <v/>
      </c>
      <c r="Q222" s="18">
        <f>IF(원데이터!K222&lt;&gt;"",원데이터!K222,(0.25+0.5*원데이터!L222/(24/PI()*N222))*O222)</f>
        <v/>
      </c>
      <c r="R222" s="18">
        <f>0.77*Q222</f>
        <v/>
      </c>
      <c r="S222" s="18">
        <f>0.000000004903*(((원데이터!B222+273.16)^4+(원데이터!C222+273.16)^4)/2)*(0.34-0.14*SQRT(G222))*(1.35*MIN(Q222/P222,1)-0.35)</f>
        <v/>
      </c>
      <c r="T222" s="18">
        <f>R222-S222</f>
        <v/>
      </c>
      <c r="U222" s="18">
        <f>(0.408*H222*T222+J222*(900/(C222+273))*K222*(F222-G222))/(H222+J222*(1+0.34*K222))</f>
        <v/>
      </c>
      <c r="V222" s="11">
        <f>IF(원데이터!A222-설정!$B$16&lt;0,"발아전",IF(원데이터!A222-설정!$B$16&lt;설정!$B$17,"초기",IF(원데이터!A222-설정!$B$16&lt;설정!$B$17+설정!$B$18,"발육",IF(원데이터!A222-설정!$B$16&lt;설정!$B$17+설정!$B$18+설정!$B$19,"중기",IF(원데이터!A222-설정!$B$16&lt;설정!$B$17+설정!$B$18+설정!$B$19+설정!$B$20,"후기","후기이후")))))</f>
        <v/>
      </c>
      <c r="W222" s="12">
        <f>IF(원데이터!A222-설정!$B$16&lt;0,0,IF(원데이터!A222-설정!$B$16&lt;설정!$B$17,설정!$B$33,IF(원데이터!A222-설정!$B$16&lt;설정!$B$17+설정!$B$18,설정!$B$33+(설정!$B$34-설정!$B$33)*(원데이터!A222-설정!$B$16-설정!$B$17+1)/설정!$B$18,IF(원데이터!A222-설정!$B$16&lt;설정!$B$17+설정!$B$18+설정!$B$19,설정!$B$34,IF(원데이터!A222-설정!$B$16&lt;설정!$B$17+설정!$B$18+설정!$B$19+설정!$B$20,설정!$B$34+(설정!$B$35-설정!$B$34)*(원데이터!A222-설정!$B$16-설정!$B$17-설정!$B$18-설정!$B$19+1)/설정!$B$20,0)))))</f>
        <v/>
      </c>
      <c r="X222" s="12">
        <f>0.108-0.0286*K222+0.0422*LN(설정!$B$5)+0.1434*LN(원데이터!E222)-0.000631*LN(설정!$B$5)^2*LN(원데이터!E222)</f>
        <v/>
      </c>
      <c r="Y222" s="17">
        <f>원데이터!M222</f>
        <v/>
      </c>
      <c r="Z222" s="18">
        <f>X222*Y222</f>
        <v/>
      </c>
      <c r="AA222" s="18">
        <f>U222*W222</f>
        <v/>
      </c>
      <c r="AB222" s="18">
        <f>Z222*W222</f>
        <v/>
      </c>
    </row>
    <row r="223">
      <c r="A223" s="15">
        <f>원데이터!A223</f>
        <v/>
      </c>
      <c r="B223" s="14">
        <f>원데이터!A223-DATE(YEAR(원데이터!A223),1,1)+1</f>
        <v/>
      </c>
      <c r="C223" s="17">
        <f>(원데이터!B223+원데이터!C223)/2</f>
        <v/>
      </c>
      <c r="D223" s="12">
        <f>0.6108*EXP(17.27*원데이터!B223/(원데이터!B223+237.3))</f>
        <v/>
      </c>
      <c r="E223" s="12">
        <f>0.6108*EXP(17.27*원데이터!C223/(원데이터!C223+237.3))</f>
        <v/>
      </c>
      <c r="F223" s="12">
        <f>(D223+E223)/2</f>
        <v/>
      </c>
      <c r="G223" s="12">
        <f>IF(원데이터!H223&lt;&gt;"",원데이터!H223/10,IF(원데이터!I223&lt;&gt;"",0.6108*EXP(17.27*원데이터!I223/(원데이터!I223+237.3)),원데이터!E223/100*F223))</f>
        <v/>
      </c>
      <c r="H223" s="21">
        <f>4098*(0.6108*EXP(17.27*C223/(C223+237.3)))/(C223+237.3)^2</f>
        <v/>
      </c>
      <c r="I223" s="17">
        <f>IF(원데이터!J223&lt;&gt;"",원데이터!J223/10,101.3*((293-0.0065*설정!$B$3)/293)^5.26)</f>
        <v/>
      </c>
      <c r="J223" s="21">
        <f>0.000665*I223</f>
        <v/>
      </c>
      <c r="K223" s="18">
        <f>원데이터!G223*4.87/LN(67.8*설정!$B$4-5.42)</f>
        <v/>
      </c>
      <c r="L223" s="12">
        <f>1+0.033*COS(2*PI()*B223/365)</f>
        <v/>
      </c>
      <c r="M223" s="21">
        <f>0.409*SIN(2*PI()*B223/365-1.39)</f>
        <v/>
      </c>
      <c r="N223" s="21">
        <f>ACOS(-TAN(RADIANS(설정!$B$2))*TAN(M223))</f>
        <v/>
      </c>
      <c r="O223" s="18">
        <f>(24*60/PI())*0.082*L223*(N223*SIN(RADIANS(설정!$B$2))*SIN(M223)+COS(RADIANS(설정!$B$2))*COS(M223)*SIN(N223))</f>
        <v/>
      </c>
      <c r="P223" s="18">
        <f>(0.75+0.00002*설정!$B$3)*O223</f>
        <v/>
      </c>
      <c r="Q223" s="18">
        <f>IF(원데이터!K223&lt;&gt;"",원데이터!K223,(0.25+0.5*원데이터!L223/(24/PI()*N223))*O223)</f>
        <v/>
      </c>
      <c r="R223" s="18">
        <f>0.77*Q223</f>
        <v/>
      </c>
      <c r="S223" s="18">
        <f>0.000000004903*(((원데이터!B223+273.16)^4+(원데이터!C223+273.16)^4)/2)*(0.34-0.14*SQRT(G223))*(1.35*MIN(Q223/P223,1)-0.35)</f>
        <v/>
      </c>
      <c r="T223" s="18">
        <f>R223-S223</f>
        <v/>
      </c>
      <c r="U223" s="18">
        <f>(0.408*H223*T223+J223*(900/(C223+273))*K223*(F223-G223))/(H223+J223*(1+0.34*K223))</f>
        <v/>
      </c>
      <c r="V223" s="11">
        <f>IF(원데이터!A223-설정!$B$16&lt;0,"발아전",IF(원데이터!A223-설정!$B$16&lt;설정!$B$17,"초기",IF(원데이터!A223-설정!$B$16&lt;설정!$B$17+설정!$B$18,"발육",IF(원데이터!A223-설정!$B$16&lt;설정!$B$17+설정!$B$18+설정!$B$19,"중기",IF(원데이터!A223-설정!$B$16&lt;설정!$B$17+설정!$B$18+설정!$B$19+설정!$B$20,"후기","후기이후")))))</f>
        <v/>
      </c>
      <c r="W223" s="12">
        <f>IF(원데이터!A223-설정!$B$16&lt;0,0,IF(원데이터!A223-설정!$B$16&lt;설정!$B$17,설정!$B$33,IF(원데이터!A223-설정!$B$16&lt;설정!$B$17+설정!$B$18,설정!$B$33+(설정!$B$34-설정!$B$33)*(원데이터!A223-설정!$B$16-설정!$B$17+1)/설정!$B$18,IF(원데이터!A223-설정!$B$16&lt;설정!$B$17+설정!$B$18+설정!$B$19,설정!$B$34,IF(원데이터!A223-설정!$B$16&lt;설정!$B$17+설정!$B$18+설정!$B$19+설정!$B$20,설정!$B$34+(설정!$B$35-설정!$B$34)*(원데이터!A223-설정!$B$16-설정!$B$17-설정!$B$18-설정!$B$19+1)/설정!$B$20,0)))))</f>
        <v/>
      </c>
      <c r="X223" s="12">
        <f>0.108-0.0286*K223+0.0422*LN(설정!$B$5)+0.1434*LN(원데이터!E223)-0.000631*LN(설정!$B$5)^2*LN(원데이터!E223)</f>
        <v/>
      </c>
      <c r="Y223" s="17">
        <f>원데이터!M223</f>
        <v/>
      </c>
      <c r="Z223" s="18">
        <f>X223*Y223</f>
        <v/>
      </c>
      <c r="AA223" s="18">
        <f>U223*W223</f>
        <v/>
      </c>
      <c r="AB223" s="18">
        <f>Z223*W223</f>
        <v/>
      </c>
    </row>
    <row r="224">
      <c r="A224" s="15">
        <f>원데이터!A224</f>
        <v/>
      </c>
      <c r="B224" s="14">
        <f>원데이터!A224-DATE(YEAR(원데이터!A224),1,1)+1</f>
        <v/>
      </c>
      <c r="C224" s="17">
        <f>(원데이터!B224+원데이터!C224)/2</f>
        <v/>
      </c>
      <c r="D224" s="12">
        <f>0.6108*EXP(17.27*원데이터!B224/(원데이터!B224+237.3))</f>
        <v/>
      </c>
      <c r="E224" s="12">
        <f>0.6108*EXP(17.27*원데이터!C224/(원데이터!C224+237.3))</f>
        <v/>
      </c>
      <c r="F224" s="12">
        <f>(D224+E224)/2</f>
        <v/>
      </c>
      <c r="G224" s="12">
        <f>IF(원데이터!H224&lt;&gt;"",원데이터!H224/10,IF(원데이터!I224&lt;&gt;"",0.6108*EXP(17.27*원데이터!I224/(원데이터!I224+237.3)),원데이터!E224/100*F224))</f>
        <v/>
      </c>
      <c r="H224" s="21">
        <f>4098*(0.6108*EXP(17.27*C224/(C224+237.3)))/(C224+237.3)^2</f>
        <v/>
      </c>
      <c r="I224" s="17">
        <f>IF(원데이터!J224&lt;&gt;"",원데이터!J224/10,101.3*((293-0.0065*설정!$B$3)/293)^5.26)</f>
        <v/>
      </c>
      <c r="J224" s="21">
        <f>0.000665*I224</f>
        <v/>
      </c>
      <c r="K224" s="18">
        <f>원데이터!G224*4.87/LN(67.8*설정!$B$4-5.42)</f>
        <v/>
      </c>
      <c r="L224" s="12">
        <f>1+0.033*COS(2*PI()*B224/365)</f>
        <v/>
      </c>
      <c r="M224" s="21">
        <f>0.409*SIN(2*PI()*B224/365-1.39)</f>
        <v/>
      </c>
      <c r="N224" s="21">
        <f>ACOS(-TAN(RADIANS(설정!$B$2))*TAN(M224))</f>
        <v/>
      </c>
      <c r="O224" s="18">
        <f>(24*60/PI())*0.082*L224*(N224*SIN(RADIANS(설정!$B$2))*SIN(M224)+COS(RADIANS(설정!$B$2))*COS(M224)*SIN(N224))</f>
        <v/>
      </c>
      <c r="P224" s="18">
        <f>(0.75+0.00002*설정!$B$3)*O224</f>
        <v/>
      </c>
      <c r="Q224" s="18">
        <f>IF(원데이터!K224&lt;&gt;"",원데이터!K224,(0.25+0.5*원데이터!L224/(24/PI()*N224))*O224)</f>
        <v/>
      </c>
      <c r="R224" s="18">
        <f>0.77*Q224</f>
        <v/>
      </c>
      <c r="S224" s="18">
        <f>0.000000004903*(((원데이터!B224+273.16)^4+(원데이터!C224+273.16)^4)/2)*(0.34-0.14*SQRT(G224))*(1.35*MIN(Q224/P224,1)-0.35)</f>
        <v/>
      </c>
      <c r="T224" s="18">
        <f>R224-S224</f>
        <v/>
      </c>
      <c r="U224" s="18">
        <f>(0.408*H224*T224+J224*(900/(C224+273))*K224*(F224-G224))/(H224+J224*(1+0.34*K224))</f>
        <v/>
      </c>
      <c r="V224" s="11">
        <f>IF(원데이터!A224-설정!$B$16&lt;0,"발아전",IF(원데이터!A224-설정!$B$16&lt;설정!$B$17,"초기",IF(원데이터!A224-설정!$B$16&lt;설정!$B$17+설정!$B$18,"발육",IF(원데이터!A224-설정!$B$16&lt;설정!$B$17+설정!$B$18+설정!$B$19,"중기",IF(원데이터!A224-설정!$B$16&lt;설정!$B$17+설정!$B$18+설정!$B$19+설정!$B$20,"후기","후기이후")))))</f>
        <v/>
      </c>
      <c r="W224" s="12">
        <f>IF(원데이터!A224-설정!$B$16&lt;0,0,IF(원데이터!A224-설정!$B$16&lt;설정!$B$17,설정!$B$33,IF(원데이터!A224-설정!$B$16&lt;설정!$B$17+설정!$B$18,설정!$B$33+(설정!$B$34-설정!$B$33)*(원데이터!A224-설정!$B$16-설정!$B$17+1)/설정!$B$18,IF(원데이터!A224-설정!$B$16&lt;설정!$B$17+설정!$B$18+설정!$B$19,설정!$B$34,IF(원데이터!A224-설정!$B$16&lt;설정!$B$17+설정!$B$18+설정!$B$19+설정!$B$20,설정!$B$34+(설정!$B$35-설정!$B$34)*(원데이터!A224-설정!$B$16-설정!$B$17-설정!$B$18-설정!$B$19+1)/설정!$B$20,0)))))</f>
        <v/>
      </c>
      <c r="X224" s="12">
        <f>0.108-0.0286*K224+0.0422*LN(설정!$B$5)+0.1434*LN(원데이터!E224)-0.000631*LN(설정!$B$5)^2*LN(원데이터!E224)</f>
        <v/>
      </c>
      <c r="Y224" s="17">
        <f>원데이터!M224</f>
        <v/>
      </c>
      <c r="Z224" s="18">
        <f>X224*Y224</f>
        <v/>
      </c>
      <c r="AA224" s="18">
        <f>U224*W224</f>
        <v/>
      </c>
      <c r="AB224" s="18">
        <f>Z224*W224</f>
        <v/>
      </c>
    </row>
    <row r="225">
      <c r="A225" s="15">
        <f>원데이터!A225</f>
        <v/>
      </c>
      <c r="B225" s="14">
        <f>원데이터!A225-DATE(YEAR(원데이터!A225),1,1)+1</f>
        <v/>
      </c>
      <c r="C225" s="17">
        <f>(원데이터!B225+원데이터!C225)/2</f>
        <v/>
      </c>
      <c r="D225" s="12">
        <f>0.6108*EXP(17.27*원데이터!B225/(원데이터!B225+237.3))</f>
        <v/>
      </c>
      <c r="E225" s="12">
        <f>0.6108*EXP(17.27*원데이터!C225/(원데이터!C225+237.3))</f>
        <v/>
      </c>
      <c r="F225" s="12">
        <f>(D225+E225)/2</f>
        <v/>
      </c>
      <c r="G225" s="12">
        <f>IF(원데이터!H225&lt;&gt;"",원데이터!H225/10,IF(원데이터!I225&lt;&gt;"",0.6108*EXP(17.27*원데이터!I225/(원데이터!I225+237.3)),원데이터!E225/100*F225))</f>
        <v/>
      </c>
      <c r="H225" s="21">
        <f>4098*(0.6108*EXP(17.27*C225/(C225+237.3)))/(C225+237.3)^2</f>
        <v/>
      </c>
      <c r="I225" s="17">
        <f>IF(원데이터!J225&lt;&gt;"",원데이터!J225/10,101.3*((293-0.0065*설정!$B$3)/293)^5.26)</f>
        <v/>
      </c>
      <c r="J225" s="21">
        <f>0.000665*I225</f>
        <v/>
      </c>
      <c r="K225" s="18">
        <f>원데이터!G225*4.87/LN(67.8*설정!$B$4-5.42)</f>
        <v/>
      </c>
      <c r="L225" s="12">
        <f>1+0.033*COS(2*PI()*B225/365)</f>
        <v/>
      </c>
      <c r="M225" s="21">
        <f>0.409*SIN(2*PI()*B225/365-1.39)</f>
        <v/>
      </c>
      <c r="N225" s="21">
        <f>ACOS(-TAN(RADIANS(설정!$B$2))*TAN(M225))</f>
        <v/>
      </c>
      <c r="O225" s="18">
        <f>(24*60/PI())*0.082*L225*(N225*SIN(RADIANS(설정!$B$2))*SIN(M225)+COS(RADIANS(설정!$B$2))*COS(M225)*SIN(N225))</f>
        <v/>
      </c>
      <c r="P225" s="18">
        <f>(0.75+0.00002*설정!$B$3)*O225</f>
        <v/>
      </c>
      <c r="Q225" s="18">
        <f>IF(원데이터!K225&lt;&gt;"",원데이터!K225,(0.25+0.5*원데이터!L225/(24/PI()*N225))*O225)</f>
        <v/>
      </c>
      <c r="R225" s="18">
        <f>0.77*Q225</f>
        <v/>
      </c>
      <c r="S225" s="18">
        <f>0.000000004903*(((원데이터!B225+273.16)^4+(원데이터!C225+273.16)^4)/2)*(0.34-0.14*SQRT(G225))*(1.35*MIN(Q225/P225,1)-0.35)</f>
        <v/>
      </c>
      <c r="T225" s="18">
        <f>R225-S225</f>
        <v/>
      </c>
      <c r="U225" s="18">
        <f>(0.408*H225*T225+J225*(900/(C225+273))*K225*(F225-G225))/(H225+J225*(1+0.34*K225))</f>
        <v/>
      </c>
      <c r="V225" s="11">
        <f>IF(원데이터!A225-설정!$B$16&lt;0,"발아전",IF(원데이터!A225-설정!$B$16&lt;설정!$B$17,"초기",IF(원데이터!A225-설정!$B$16&lt;설정!$B$17+설정!$B$18,"발육",IF(원데이터!A225-설정!$B$16&lt;설정!$B$17+설정!$B$18+설정!$B$19,"중기",IF(원데이터!A225-설정!$B$16&lt;설정!$B$17+설정!$B$18+설정!$B$19+설정!$B$20,"후기","후기이후")))))</f>
        <v/>
      </c>
      <c r="W225" s="12">
        <f>IF(원데이터!A225-설정!$B$16&lt;0,0,IF(원데이터!A225-설정!$B$16&lt;설정!$B$17,설정!$B$33,IF(원데이터!A225-설정!$B$16&lt;설정!$B$17+설정!$B$18,설정!$B$33+(설정!$B$34-설정!$B$33)*(원데이터!A225-설정!$B$16-설정!$B$17+1)/설정!$B$18,IF(원데이터!A225-설정!$B$16&lt;설정!$B$17+설정!$B$18+설정!$B$19,설정!$B$34,IF(원데이터!A225-설정!$B$16&lt;설정!$B$17+설정!$B$18+설정!$B$19+설정!$B$20,설정!$B$34+(설정!$B$35-설정!$B$34)*(원데이터!A225-설정!$B$16-설정!$B$17-설정!$B$18-설정!$B$19+1)/설정!$B$20,0)))))</f>
        <v/>
      </c>
      <c r="X225" s="12">
        <f>0.108-0.0286*K225+0.0422*LN(설정!$B$5)+0.1434*LN(원데이터!E225)-0.000631*LN(설정!$B$5)^2*LN(원데이터!E225)</f>
        <v/>
      </c>
      <c r="Y225" s="17">
        <f>원데이터!M225</f>
        <v/>
      </c>
      <c r="Z225" s="18">
        <f>X225*Y225</f>
        <v/>
      </c>
      <c r="AA225" s="18">
        <f>U225*W225</f>
        <v/>
      </c>
      <c r="AB225" s="18">
        <f>Z225*W225</f>
        <v/>
      </c>
    </row>
    <row r="226">
      <c r="A226" s="15">
        <f>원데이터!A226</f>
        <v/>
      </c>
      <c r="B226" s="14">
        <f>원데이터!A226-DATE(YEAR(원데이터!A226),1,1)+1</f>
        <v/>
      </c>
      <c r="C226" s="17">
        <f>(원데이터!B226+원데이터!C226)/2</f>
        <v/>
      </c>
      <c r="D226" s="12">
        <f>0.6108*EXP(17.27*원데이터!B226/(원데이터!B226+237.3))</f>
        <v/>
      </c>
      <c r="E226" s="12">
        <f>0.6108*EXP(17.27*원데이터!C226/(원데이터!C226+237.3))</f>
        <v/>
      </c>
      <c r="F226" s="12">
        <f>(D226+E226)/2</f>
        <v/>
      </c>
      <c r="G226" s="12">
        <f>IF(원데이터!H226&lt;&gt;"",원데이터!H226/10,IF(원데이터!I226&lt;&gt;"",0.6108*EXP(17.27*원데이터!I226/(원데이터!I226+237.3)),원데이터!E226/100*F226))</f>
        <v/>
      </c>
      <c r="H226" s="21">
        <f>4098*(0.6108*EXP(17.27*C226/(C226+237.3)))/(C226+237.3)^2</f>
        <v/>
      </c>
      <c r="I226" s="17">
        <f>IF(원데이터!J226&lt;&gt;"",원데이터!J226/10,101.3*((293-0.0065*설정!$B$3)/293)^5.26)</f>
        <v/>
      </c>
      <c r="J226" s="21">
        <f>0.000665*I226</f>
        <v/>
      </c>
      <c r="K226" s="18">
        <f>원데이터!G226*4.87/LN(67.8*설정!$B$4-5.42)</f>
        <v/>
      </c>
      <c r="L226" s="12">
        <f>1+0.033*COS(2*PI()*B226/365)</f>
        <v/>
      </c>
      <c r="M226" s="21">
        <f>0.409*SIN(2*PI()*B226/365-1.39)</f>
        <v/>
      </c>
      <c r="N226" s="21">
        <f>ACOS(-TAN(RADIANS(설정!$B$2))*TAN(M226))</f>
        <v/>
      </c>
      <c r="O226" s="18">
        <f>(24*60/PI())*0.082*L226*(N226*SIN(RADIANS(설정!$B$2))*SIN(M226)+COS(RADIANS(설정!$B$2))*COS(M226)*SIN(N226))</f>
        <v/>
      </c>
      <c r="P226" s="18">
        <f>(0.75+0.00002*설정!$B$3)*O226</f>
        <v/>
      </c>
      <c r="Q226" s="18">
        <f>IF(원데이터!K226&lt;&gt;"",원데이터!K226,(0.25+0.5*원데이터!L226/(24/PI()*N226))*O226)</f>
        <v/>
      </c>
      <c r="R226" s="18">
        <f>0.77*Q226</f>
        <v/>
      </c>
      <c r="S226" s="18">
        <f>0.000000004903*(((원데이터!B226+273.16)^4+(원데이터!C226+273.16)^4)/2)*(0.34-0.14*SQRT(G226))*(1.35*MIN(Q226/P226,1)-0.35)</f>
        <v/>
      </c>
      <c r="T226" s="18">
        <f>R226-S226</f>
        <v/>
      </c>
      <c r="U226" s="18">
        <f>(0.408*H226*T226+J226*(900/(C226+273))*K226*(F226-G226))/(H226+J226*(1+0.34*K226))</f>
        <v/>
      </c>
      <c r="V226" s="11">
        <f>IF(원데이터!A226-설정!$B$16&lt;0,"발아전",IF(원데이터!A226-설정!$B$16&lt;설정!$B$17,"초기",IF(원데이터!A226-설정!$B$16&lt;설정!$B$17+설정!$B$18,"발육",IF(원데이터!A226-설정!$B$16&lt;설정!$B$17+설정!$B$18+설정!$B$19,"중기",IF(원데이터!A226-설정!$B$16&lt;설정!$B$17+설정!$B$18+설정!$B$19+설정!$B$20,"후기","후기이후")))))</f>
        <v/>
      </c>
      <c r="W226" s="12">
        <f>IF(원데이터!A226-설정!$B$16&lt;0,0,IF(원데이터!A226-설정!$B$16&lt;설정!$B$17,설정!$B$33,IF(원데이터!A226-설정!$B$16&lt;설정!$B$17+설정!$B$18,설정!$B$33+(설정!$B$34-설정!$B$33)*(원데이터!A226-설정!$B$16-설정!$B$17+1)/설정!$B$18,IF(원데이터!A226-설정!$B$16&lt;설정!$B$17+설정!$B$18+설정!$B$19,설정!$B$34,IF(원데이터!A226-설정!$B$16&lt;설정!$B$17+설정!$B$18+설정!$B$19+설정!$B$20,설정!$B$34+(설정!$B$35-설정!$B$34)*(원데이터!A226-설정!$B$16-설정!$B$17-설정!$B$18-설정!$B$19+1)/설정!$B$20,0)))))</f>
        <v/>
      </c>
      <c r="X226" s="12">
        <f>0.108-0.0286*K226+0.0422*LN(설정!$B$5)+0.1434*LN(원데이터!E226)-0.000631*LN(설정!$B$5)^2*LN(원데이터!E226)</f>
        <v/>
      </c>
      <c r="Y226" s="17">
        <f>원데이터!M226</f>
        <v/>
      </c>
      <c r="Z226" s="18">
        <f>X226*Y226</f>
        <v/>
      </c>
      <c r="AA226" s="18">
        <f>U226*W226</f>
        <v/>
      </c>
      <c r="AB226" s="18">
        <f>Z226*W226</f>
        <v/>
      </c>
    </row>
    <row r="227">
      <c r="A227" s="15">
        <f>원데이터!A227</f>
        <v/>
      </c>
      <c r="B227" s="14">
        <f>원데이터!A227-DATE(YEAR(원데이터!A227),1,1)+1</f>
        <v/>
      </c>
      <c r="C227" s="17">
        <f>(원데이터!B227+원데이터!C227)/2</f>
        <v/>
      </c>
      <c r="D227" s="12">
        <f>0.6108*EXP(17.27*원데이터!B227/(원데이터!B227+237.3))</f>
        <v/>
      </c>
      <c r="E227" s="12">
        <f>0.6108*EXP(17.27*원데이터!C227/(원데이터!C227+237.3))</f>
        <v/>
      </c>
      <c r="F227" s="12">
        <f>(D227+E227)/2</f>
        <v/>
      </c>
      <c r="G227" s="12">
        <f>IF(원데이터!H227&lt;&gt;"",원데이터!H227/10,IF(원데이터!I227&lt;&gt;"",0.6108*EXP(17.27*원데이터!I227/(원데이터!I227+237.3)),원데이터!E227/100*F227))</f>
        <v/>
      </c>
      <c r="H227" s="21">
        <f>4098*(0.6108*EXP(17.27*C227/(C227+237.3)))/(C227+237.3)^2</f>
        <v/>
      </c>
      <c r="I227" s="17">
        <f>IF(원데이터!J227&lt;&gt;"",원데이터!J227/10,101.3*((293-0.0065*설정!$B$3)/293)^5.26)</f>
        <v/>
      </c>
      <c r="J227" s="21">
        <f>0.000665*I227</f>
        <v/>
      </c>
      <c r="K227" s="18">
        <f>원데이터!G227*4.87/LN(67.8*설정!$B$4-5.42)</f>
        <v/>
      </c>
      <c r="L227" s="12">
        <f>1+0.033*COS(2*PI()*B227/365)</f>
        <v/>
      </c>
      <c r="M227" s="21">
        <f>0.409*SIN(2*PI()*B227/365-1.39)</f>
        <v/>
      </c>
      <c r="N227" s="21">
        <f>ACOS(-TAN(RADIANS(설정!$B$2))*TAN(M227))</f>
        <v/>
      </c>
      <c r="O227" s="18">
        <f>(24*60/PI())*0.082*L227*(N227*SIN(RADIANS(설정!$B$2))*SIN(M227)+COS(RADIANS(설정!$B$2))*COS(M227)*SIN(N227))</f>
        <v/>
      </c>
      <c r="P227" s="18">
        <f>(0.75+0.00002*설정!$B$3)*O227</f>
        <v/>
      </c>
      <c r="Q227" s="18">
        <f>IF(원데이터!K227&lt;&gt;"",원데이터!K227,(0.25+0.5*원데이터!L227/(24/PI()*N227))*O227)</f>
        <v/>
      </c>
      <c r="R227" s="18">
        <f>0.77*Q227</f>
        <v/>
      </c>
      <c r="S227" s="18">
        <f>0.000000004903*(((원데이터!B227+273.16)^4+(원데이터!C227+273.16)^4)/2)*(0.34-0.14*SQRT(G227))*(1.35*MIN(Q227/P227,1)-0.35)</f>
        <v/>
      </c>
      <c r="T227" s="18">
        <f>R227-S227</f>
        <v/>
      </c>
      <c r="U227" s="18">
        <f>(0.408*H227*T227+J227*(900/(C227+273))*K227*(F227-G227))/(H227+J227*(1+0.34*K227))</f>
        <v/>
      </c>
      <c r="V227" s="11">
        <f>IF(원데이터!A227-설정!$B$16&lt;0,"발아전",IF(원데이터!A227-설정!$B$16&lt;설정!$B$17,"초기",IF(원데이터!A227-설정!$B$16&lt;설정!$B$17+설정!$B$18,"발육",IF(원데이터!A227-설정!$B$16&lt;설정!$B$17+설정!$B$18+설정!$B$19,"중기",IF(원데이터!A227-설정!$B$16&lt;설정!$B$17+설정!$B$18+설정!$B$19+설정!$B$20,"후기","후기이후")))))</f>
        <v/>
      </c>
      <c r="W227" s="12">
        <f>IF(원데이터!A227-설정!$B$16&lt;0,0,IF(원데이터!A227-설정!$B$16&lt;설정!$B$17,설정!$B$33,IF(원데이터!A227-설정!$B$16&lt;설정!$B$17+설정!$B$18,설정!$B$33+(설정!$B$34-설정!$B$33)*(원데이터!A227-설정!$B$16-설정!$B$17+1)/설정!$B$18,IF(원데이터!A227-설정!$B$16&lt;설정!$B$17+설정!$B$18+설정!$B$19,설정!$B$34,IF(원데이터!A227-설정!$B$16&lt;설정!$B$17+설정!$B$18+설정!$B$19+설정!$B$20,설정!$B$34+(설정!$B$35-설정!$B$34)*(원데이터!A227-설정!$B$16-설정!$B$17-설정!$B$18-설정!$B$19+1)/설정!$B$20,0)))))</f>
        <v/>
      </c>
      <c r="X227" s="12">
        <f>0.108-0.0286*K227+0.0422*LN(설정!$B$5)+0.1434*LN(원데이터!E227)-0.000631*LN(설정!$B$5)^2*LN(원데이터!E227)</f>
        <v/>
      </c>
      <c r="Y227" s="17">
        <f>원데이터!M227</f>
        <v/>
      </c>
      <c r="Z227" s="18">
        <f>X227*Y227</f>
        <v/>
      </c>
      <c r="AA227" s="18">
        <f>U227*W227</f>
        <v/>
      </c>
      <c r="AB227" s="18">
        <f>Z227*W227</f>
        <v/>
      </c>
    </row>
    <row r="228">
      <c r="A228" s="15">
        <f>원데이터!A228</f>
        <v/>
      </c>
      <c r="B228" s="14">
        <f>원데이터!A228-DATE(YEAR(원데이터!A228),1,1)+1</f>
        <v/>
      </c>
      <c r="C228" s="17">
        <f>(원데이터!B228+원데이터!C228)/2</f>
        <v/>
      </c>
      <c r="D228" s="12">
        <f>0.6108*EXP(17.27*원데이터!B228/(원데이터!B228+237.3))</f>
        <v/>
      </c>
      <c r="E228" s="12">
        <f>0.6108*EXP(17.27*원데이터!C228/(원데이터!C228+237.3))</f>
        <v/>
      </c>
      <c r="F228" s="12">
        <f>(D228+E228)/2</f>
        <v/>
      </c>
      <c r="G228" s="12">
        <f>IF(원데이터!H228&lt;&gt;"",원데이터!H228/10,IF(원데이터!I228&lt;&gt;"",0.6108*EXP(17.27*원데이터!I228/(원데이터!I228+237.3)),원데이터!E228/100*F228))</f>
        <v/>
      </c>
      <c r="H228" s="21">
        <f>4098*(0.6108*EXP(17.27*C228/(C228+237.3)))/(C228+237.3)^2</f>
        <v/>
      </c>
      <c r="I228" s="17">
        <f>IF(원데이터!J228&lt;&gt;"",원데이터!J228/10,101.3*((293-0.0065*설정!$B$3)/293)^5.26)</f>
        <v/>
      </c>
      <c r="J228" s="21">
        <f>0.000665*I228</f>
        <v/>
      </c>
      <c r="K228" s="18">
        <f>원데이터!G228*4.87/LN(67.8*설정!$B$4-5.42)</f>
        <v/>
      </c>
      <c r="L228" s="12">
        <f>1+0.033*COS(2*PI()*B228/365)</f>
        <v/>
      </c>
      <c r="M228" s="21">
        <f>0.409*SIN(2*PI()*B228/365-1.39)</f>
        <v/>
      </c>
      <c r="N228" s="21">
        <f>ACOS(-TAN(RADIANS(설정!$B$2))*TAN(M228))</f>
        <v/>
      </c>
      <c r="O228" s="18">
        <f>(24*60/PI())*0.082*L228*(N228*SIN(RADIANS(설정!$B$2))*SIN(M228)+COS(RADIANS(설정!$B$2))*COS(M228)*SIN(N228))</f>
        <v/>
      </c>
      <c r="P228" s="18">
        <f>(0.75+0.00002*설정!$B$3)*O228</f>
        <v/>
      </c>
      <c r="Q228" s="18">
        <f>IF(원데이터!K228&lt;&gt;"",원데이터!K228,(0.25+0.5*원데이터!L228/(24/PI()*N228))*O228)</f>
        <v/>
      </c>
      <c r="R228" s="18">
        <f>0.77*Q228</f>
        <v/>
      </c>
      <c r="S228" s="18">
        <f>0.000000004903*(((원데이터!B228+273.16)^4+(원데이터!C228+273.16)^4)/2)*(0.34-0.14*SQRT(G228))*(1.35*MIN(Q228/P228,1)-0.35)</f>
        <v/>
      </c>
      <c r="T228" s="18">
        <f>R228-S228</f>
        <v/>
      </c>
      <c r="U228" s="18">
        <f>(0.408*H228*T228+J228*(900/(C228+273))*K228*(F228-G228))/(H228+J228*(1+0.34*K228))</f>
        <v/>
      </c>
      <c r="V228" s="11">
        <f>IF(원데이터!A228-설정!$B$16&lt;0,"발아전",IF(원데이터!A228-설정!$B$16&lt;설정!$B$17,"초기",IF(원데이터!A228-설정!$B$16&lt;설정!$B$17+설정!$B$18,"발육",IF(원데이터!A228-설정!$B$16&lt;설정!$B$17+설정!$B$18+설정!$B$19,"중기",IF(원데이터!A228-설정!$B$16&lt;설정!$B$17+설정!$B$18+설정!$B$19+설정!$B$20,"후기","후기이후")))))</f>
        <v/>
      </c>
      <c r="W228" s="12">
        <f>IF(원데이터!A228-설정!$B$16&lt;0,0,IF(원데이터!A228-설정!$B$16&lt;설정!$B$17,설정!$B$33,IF(원데이터!A228-설정!$B$16&lt;설정!$B$17+설정!$B$18,설정!$B$33+(설정!$B$34-설정!$B$33)*(원데이터!A228-설정!$B$16-설정!$B$17+1)/설정!$B$18,IF(원데이터!A228-설정!$B$16&lt;설정!$B$17+설정!$B$18+설정!$B$19,설정!$B$34,IF(원데이터!A228-설정!$B$16&lt;설정!$B$17+설정!$B$18+설정!$B$19+설정!$B$20,설정!$B$34+(설정!$B$35-설정!$B$34)*(원데이터!A228-설정!$B$16-설정!$B$17-설정!$B$18-설정!$B$19+1)/설정!$B$20,0)))))</f>
        <v/>
      </c>
      <c r="X228" s="12">
        <f>0.108-0.0286*K228+0.0422*LN(설정!$B$5)+0.1434*LN(원데이터!E228)-0.000631*LN(설정!$B$5)^2*LN(원데이터!E228)</f>
        <v/>
      </c>
      <c r="Y228" s="17">
        <f>원데이터!M228</f>
        <v/>
      </c>
      <c r="Z228" s="18">
        <f>X228*Y228</f>
        <v/>
      </c>
      <c r="AA228" s="18">
        <f>U228*W228</f>
        <v/>
      </c>
      <c r="AB228" s="18">
        <f>Z228*W228</f>
        <v/>
      </c>
    </row>
    <row r="229">
      <c r="A229" s="15">
        <f>원데이터!A229</f>
        <v/>
      </c>
      <c r="B229" s="14">
        <f>원데이터!A229-DATE(YEAR(원데이터!A229),1,1)+1</f>
        <v/>
      </c>
      <c r="C229" s="17">
        <f>(원데이터!B229+원데이터!C229)/2</f>
        <v/>
      </c>
      <c r="D229" s="12">
        <f>0.6108*EXP(17.27*원데이터!B229/(원데이터!B229+237.3))</f>
        <v/>
      </c>
      <c r="E229" s="12">
        <f>0.6108*EXP(17.27*원데이터!C229/(원데이터!C229+237.3))</f>
        <v/>
      </c>
      <c r="F229" s="12">
        <f>(D229+E229)/2</f>
        <v/>
      </c>
      <c r="G229" s="12">
        <f>IF(원데이터!H229&lt;&gt;"",원데이터!H229/10,IF(원데이터!I229&lt;&gt;"",0.6108*EXP(17.27*원데이터!I229/(원데이터!I229+237.3)),원데이터!E229/100*F229))</f>
        <v/>
      </c>
      <c r="H229" s="21">
        <f>4098*(0.6108*EXP(17.27*C229/(C229+237.3)))/(C229+237.3)^2</f>
        <v/>
      </c>
      <c r="I229" s="17">
        <f>IF(원데이터!J229&lt;&gt;"",원데이터!J229/10,101.3*((293-0.0065*설정!$B$3)/293)^5.26)</f>
        <v/>
      </c>
      <c r="J229" s="21">
        <f>0.000665*I229</f>
        <v/>
      </c>
      <c r="K229" s="18">
        <f>원데이터!G229*4.87/LN(67.8*설정!$B$4-5.42)</f>
        <v/>
      </c>
      <c r="L229" s="12">
        <f>1+0.033*COS(2*PI()*B229/365)</f>
        <v/>
      </c>
      <c r="M229" s="21">
        <f>0.409*SIN(2*PI()*B229/365-1.39)</f>
        <v/>
      </c>
      <c r="N229" s="21">
        <f>ACOS(-TAN(RADIANS(설정!$B$2))*TAN(M229))</f>
        <v/>
      </c>
      <c r="O229" s="18">
        <f>(24*60/PI())*0.082*L229*(N229*SIN(RADIANS(설정!$B$2))*SIN(M229)+COS(RADIANS(설정!$B$2))*COS(M229)*SIN(N229))</f>
        <v/>
      </c>
      <c r="P229" s="18">
        <f>(0.75+0.00002*설정!$B$3)*O229</f>
        <v/>
      </c>
      <c r="Q229" s="18">
        <f>IF(원데이터!K229&lt;&gt;"",원데이터!K229,(0.25+0.5*원데이터!L229/(24/PI()*N229))*O229)</f>
        <v/>
      </c>
      <c r="R229" s="18">
        <f>0.77*Q229</f>
        <v/>
      </c>
      <c r="S229" s="18">
        <f>0.000000004903*(((원데이터!B229+273.16)^4+(원데이터!C229+273.16)^4)/2)*(0.34-0.14*SQRT(G229))*(1.35*MIN(Q229/P229,1)-0.35)</f>
        <v/>
      </c>
      <c r="T229" s="18">
        <f>R229-S229</f>
        <v/>
      </c>
      <c r="U229" s="18">
        <f>(0.408*H229*T229+J229*(900/(C229+273))*K229*(F229-G229))/(H229+J229*(1+0.34*K229))</f>
        <v/>
      </c>
      <c r="V229" s="11">
        <f>IF(원데이터!A229-설정!$B$16&lt;0,"발아전",IF(원데이터!A229-설정!$B$16&lt;설정!$B$17,"초기",IF(원데이터!A229-설정!$B$16&lt;설정!$B$17+설정!$B$18,"발육",IF(원데이터!A229-설정!$B$16&lt;설정!$B$17+설정!$B$18+설정!$B$19,"중기",IF(원데이터!A229-설정!$B$16&lt;설정!$B$17+설정!$B$18+설정!$B$19+설정!$B$20,"후기","후기이후")))))</f>
        <v/>
      </c>
      <c r="W229" s="12">
        <f>IF(원데이터!A229-설정!$B$16&lt;0,0,IF(원데이터!A229-설정!$B$16&lt;설정!$B$17,설정!$B$33,IF(원데이터!A229-설정!$B$16&lt;설정!$B$17+설정!$B$18,설정!$B$33+(설정!$B$34-설정!$B$33)*(원데이터!A229-설정!$B$16-설정!$B$17+1)/설정!$B$18,IF(원데이터!A229-설정!$B$16&lt;설정!$B$17+설정!$B$18+설정!$B$19,설정!$B$34,IF(원데이터!A229-설정!$B$16&lt;설정!$B$17+설정!$B$18+설정!$B$19+설정!$B$20,설정!$B$34+(설정!$B$35-설정!$B$34)*(원데이터!A229-설정!$B$16-설정!$B$17-설정!$B$18-설정!$B$19+1)/설정!$B$20,0)))))</f>
        <v/>
      </c>
      <c r="X229" s="12">
        <f>0.108-0.0286*K229+0.0422*LN(설정!$B$5)+0.1434*LN(원데이터!E229)-0.000631*LN(설정!$B$5)^2*LN(원데이터!E229)</f>
        <v/>
      </c>
      <c r="Y229" s="17">
        <f>원데이터!M229</f>
        <v/>
      </c>
      <c r="Z229" s="18">
        <f>X229*Y229</f>
        <v/>
      </c>
      <c r="AA229" s="18">
        <f>U229*W229</f>
        <v/>
      </c>
      <c r="AB229" s="18">
        <f>Z229*W229</f>
        <v/>
      </c>
    </row>
    <row r="230">
      <c r="A230" s="15">
        <f>원데이터!A230</f>
        <v/>
      </c>
      <c r="B230" s="14">
        <f>원데이터!A230-DATE(YEAR(원데이터!A230),1,1)+1</f>
        <v/>
      </c>
      <c r="C230" s="17">
        <f>(원데이터!B230+원데이터!C230)/2</f>
        <v/>
      </c>
      <c r="D230" s="12">
        <f>0.6108*EXP(17.27*원데이터!B230/(원데이터!B230+237.3))</f>
        <v/>
      </c>
      <c r="E230" s="12">
        <f>0.6108*EXP(17.27*원데이터!C230/(원데이터!C230+237.3))</f>
        <v/>
      </c>
      <c r="F230" s="12">
        <f>(D230+E230)/2</f>
        <v/>
      </c>
      <c r="G230" s="12">
        <f>IF(원데이터!H230&lt;&gt;"",원데이터!H230/10,IF(원데이터!I230&lt;&gt;"",0.6108*EXP(17.27*원데이터!I230/(원데이터!I230+237.3)),원데이터!E230/100*F230))</f>
        <v/>
      </c>
      <c r="H230" s="21">
        <f>4098*(0.6108*EXP(17.27*C230/(C230+237.3)))/(C230+237.3)^2</f>
        <v/>
      </c>
      <c r="I230" s="17">
        <f>IF(원데이터!J230&lt;&gt;"",원데이터!J230/10,101.3*((293-0.0065*설정!$B$3)/293)^5.26)</f>
        <v/>
      </c>
      <c r="J230" s="21">
        <f>0.000665*I230</f>
        <v/>
      </c>
      <c r="K230" s="18">
        <f>원데이터!G230*4.87/LN(67.8*설정!$B$4-5.42)</f>
        <v/>
      </c>
      <c r="L230" s="12">
        <f>1+0.033*COS(2*PI()*B230/365)</f>
        <v/>
      </c>
      <c r="M230" s="21">
        <f>0.409*SIN(2*PI()*B230/365-1.39)</f>
        <v/>
      </c>
      <c r="N230" s="21">
        <f>ACOS(-TAN(RADIANS(설정!$B$2))*TAN(M230))</f>
        <v/>
      </c>
      <c r="O230" s="18">
        <f>(24*60/PI())*0.082*L230*(N230*SIN(RADIANS(설정!$B$2))*SIN(M230)+COS(RADIANS(설정!$B$2))*COS(M230)*SIN(N230))</f>
        <v/>
      </c>
      <c r="P230" s="18">
        <f>(0.75+0.00002*설정!$B$3)*O230</f>
        <v/>
      </c>
      <c r="Q230" s="18">
        <f>IF(원데이터!K230&lt;&gt;"",원데이터!K230,(0.25+0.5*원데이터!L230/(24/PI()*N230))*O230)</f>
        <v/>
      </c>
      <c r="R230" s="18">
        <f>0.77*Q230</f>
        <v/>
      </c>
      <c r="S230" s="18">
        <f>0.000000004903*(((원데이터!B230+273.16)^4+(원데이터!C230+273.16)^4)/2)*(0.34-0.14*SQRT(G230))*(1.35*MIN(Q230/P230,1)-0.35)</f>
        <v/>
      </c>
      <c r="T230" s="18">
        <f>R230-S230</f>
        <v/>
      </c>
      <c r="U230" s="18">
        <f>(0.408*H230*T230+J230*(900/(C230+273))*K230*(F230-G230))/(H230+J230*(1+0.34*K230))</f>
        <v/>
      </c>
      <c r="V230" s="11">
        <f>IF(원데이터!A230-설정!$B$16&lt;0,"발아전",IF(원데이터!A230-설정!$B$16&lt;설정!$B$17,"초기",IF(원데이터!A230-설정!$B$16&lt;설정!$B$17+설정!$B$18,"발육",IF(원데이터!A230-설정!$B$16&lt;설정!$B$17+설정!$B$18+설정!$B$19,"중기",IF(원데이터!A230-설정!$B$16&lt;설정!$B$17+설정!$B$18+설정!$B$19+설정!$B$20,"후기","후기이후")))))</f>
        <v/>
      </c>
      <c r="W230" s="12">
        <f>IF(원데이터!A230-설정!$B$16&lt;0,0,IF(원데이터!A230-설정!$B$16&lt;설정!$B$17,설정!$B$33,IF(원데이터!A230-설정!$B$16&lt;설정!$B$17+설정!$B$18,설정!$B$33+(설정!$B$34-설정!$B$33)*(원데이터!A230-설정!$B$16-설정!$B$17+1)/설정!$B$18,IF(원데이터!A230-설정!$B$16&lt;설정!$B$17+설정!$B$18+설정!$B$19,설정!$B$34,IF(원데이터!A230-설정!$B$16&lt;설정!$B$17+설정!$B$18+설정!$B$19+설정!$B$20,설정!$B$34+(설정!$B$35-설정!$B$34)*(원데이터!A230-설정!$B$16-설정!$B$17-설정!$B$18-설정!$B$19+1)/설정!$B$20,0)))))</f>
        <v/>
      </c>
      <c r="X230" s="12">
        <f>0.108-0.0286*K230+0.0422*LN(설정!$B$5)+0.1434*LN(원데이터!E230)-0.000631*LN(설정!$B$5)^2*LN(원데이터!E230)</f>
        <v/>
      </c>
      <c r="Y230" s="17">
        <f>원데이터!M230</f>
        <v/>
      </c>
      <c r="Z230" s="18">
        <f>X230*Y230</f>
        <v/>
      </c>
      <c r="AA230" s="18">
        <f>U230*W230</f>
        <v/>
      </c>
      <c r="AB230" s="18">
        <f>Z230*W230</f>
        <v/>
      </c>
    </row>
    <row r="231">
      <c r="A231" s="15">
        <f>원데이터!A231</f>
        <v/>
      </c>
      <c r="B231" s="14">
        <f>원데이터!A231-DATE(YEAR(원데이터!A231),1,1)+1</f>
        <v/>
      </c>
      <c r="C231" s="17">
        <f>(원데이터!B231+원데이터!C231)/2</f>
        <v/>
      </c>
      <c r="D231" s="12">
        <f>0.6108*EXP(17.27*원데이터!B231/(원데이터!B231+237.3))</f>
        <v/>
      </c>
      <c r="E231" s="12">
        <f>0.6108*EXP(17.27*원데이터!C231/(원데이터!C231+237.3))</f>
        <v/>
      </c>
      <c r="F231" s="12">
        <f>(D231+E231)/2</f>
        <v/>
      </c>
      <c r="G231" s="12">
        <f>IF(원데이터!H231&lt;&gt;"",원데이터!H231/10,IF(원데이터!I231&lt;&gt;"",0.6108*EXP(17.27*원데이터!I231/(원데이터!I231+237.3)),원데이터!E231/100*F231))</f>
        <v/>
      </c>
      <c r="H231" s="21">
        <f>4098*(0.6108*EXP(17.27*C231/(C231+237.3)))/(C231+237.3)^2</f>
        <v/>
      </c>
      <c r="I231" s="17">
        <f>IF(원데이터!J231&lt;&gt;"",원데이터!J231/10,101.3*((293-0.0065*설정!$B$3)/293)^5.26)</f>
        <v/>
      </c>
      <c r="J231" s="21">
        <f>0.000665*I231</f>
        <v/>
      </c>
      <c r="K231" s="18">
        <f>원데이터!G231*4.87/LN(67.8*설정!$B$4-5.42)</f>
        <v/>
      </c>
      <c r="L231" s="12">
        <f>1+0.033*COS(2*PI()*B231/365)</f>
        <v/>
      </c>
      <c r="M231" s="21">
        <f>0.409*SIN(2*PI()*B231/365-1.39)</f>
        <v/>
      </c>
      <c r="N231" s="21">
        <f>ACOS(-TAN(RADIANS(설정!$B$2))*TAN(M231))</f>
        <v/>
      </c>
      <c r="O231" s="18">
        <f>(24*60/PI())*0.082*L231*(N231*SIN(RADIANS(설정!$B$2))*SIN(M231)+COS(RADIANS(설정!$B$2))*COS(M231)*SIN(N231))</f>
        <v/>
      </c>
      <c r="P231" s="18">
        <f>(0.75+0.00002*설정!$B$3)*O231</f>
        <v/>
      </c>
      <c r="Q231" s="18">
        <f>IF(원데이터!K231&lt;&gt;"",원데이터!K231,(0.25+0.5*원데이터!L231/(24/PI()*N231))*O231)</f>
        <v/>
      </c>
      <c r="R231" s="18">
        <f>0.77*Q231</f>
        <v/>
      </c>
      <c r="S231" s="18">
        <f>0.000000004903*(((원데이터!B231+273.16)^4+(원데이터!C231+273.16)^4)/2)*(0.34-0.14*SQRT(G231))*(1.35*MIN(Q231/P231,1)-0.35)</f>
        <v/>
      </c>
      <c r="T231" s="18">
        <f>R231-S231</f>
        <v/>
      </c>
      <c r="U231" s="18">
        <f>(0.408*H231*T231+J231*(900/(C231+273))*K231*(F231-G231))/(H231+J231*(1+0.34*K231))</f>
        <v/>
      </c>
      <c r="V231" s="11">
        <f>IF(원데이터!A231-설정!$B$16&lt;0,"발아전",IF(원데이터!A231-설정!$B$16&lt;설정!$B$17,"초기",IF(원데이터!A231-설정!$B$16&lt;설정!$B$17+설정!$B$18,"발육",IF(원데이터!A231-설정!$B$16&lt;설정!$B$17+설정!$B$18+설정!$B$19,"중기",IF(원데이터!A231-설정!$B$16&lt;설정!$B$17+설정!$B$18+설정!$B$19+설정!$B$20,"후기","후기이후")))))</f>
        <v/>
      </c>
      <c r="W231" s="12">
        <f>IF(원데이터!A231-설정!$B$16&lt;0,0,IF(원데이터!A231-설정!$B$16&lt;설정!$B$17,설정!$B$33,IF(원데이터!A231-설정!$B$16&lt;설정!$B$17+설정!$B$18,설정!$B$33+(설정!$B$34-설정!$B$33)*(원데이터!A231-설정!$B$16-설정!$B$17+1)/설정!$B$18,IF(원데이터!A231-설정!$B$16&lt;설정!$B$17+설정!$B$18+설정!$B$19,설정!$B$34,IF(원데이터!A231-설정!$B$16&lt;설정!$B$17+설정!$B$18+설정!$B$19+설정!$B$20,설정!$B$34+(설정!$B$35-설정!$B$34)*(원데이터!A231-설정!$B$16-설정!$B$17-설정!$B$18-설정!$B$19+1)/설정!$B$20,0)))))</f>
        <v/>
      </c>
      <c r="X231" s="12">
        <f>0.108-0.0286*K231+0.0422*LN(설정!$B$5)+0.1434*LN(원데이터!E231)-0.000631*LN(설정!$B$5)^2*LN(원데이터!E231)</f>
        <v/>
      </c>
      <c r="Y231" s="17">
        <f>원데이터!M231</f>
        <v/>
      </c>
      <c r="Z231" s="18">
        <f>X231*Y231</f>
        <v/>
      </c>
      <c r="AA231" s="18">
        <f>U231*W231</f>
        <v/>
      </c>
      <c r="AB231" s="18">
        <f>Z231*W231</f>
        <v/>
      </c>
    </row>
    <row r="232">
      <c r="A232" s="15">
        <f>원데이터!A232</f>
        <v/>
      </c>
      <c r="B232" s="14">
        <f>원데이터!A232-DATE(YEAR(원데이터!A232),1,1)+1</f>
        <v/>
      </c>
      <c r="C232" s="17">
        <f>(원데이터!B232+원데이터!C232)/2</f>
        <v/>
      </c>
      <c r="D232" s="12">
        <f>0.6108*EXP(17.27*원데이터!B232/(원데이터!B232+237.3))</f>
        <v/>
      </c>
      <c r="E232" s="12">
        <f>0.6108*EXP(17.27*원데이터!C232/(원데이터!C232+237.3))</f>
        <v/>
      </c>
      <c r="F232" s="12">
        <f>(D232+E232)/2</f>
        <v/>
      </c>
      <c r="G232" s="12">
        <f>IF(원데이터!H232&lt;&gt;"",원데이터!H232/10,IF(원데이터!I232&lt;&gt;"",0.6108*EXP(17.27*원데이터!I232/(원데이터!I232+237.3)),원데이터!E232/100*F232))</f>
        <v/>
      </c>
      <c r="H232" s="21">
        <f>4098*(0.6108*EXP(17.27*C232/(C232+237.3)))/(C232+237.3)^2</f>
        <v/>
      </c>
      <c r="I232" s="17">
        <f>IF(원데이터!J232&lt;&gt;"",원데이터!J232/10,101.3*((293-0.0065*설정!$B$3)/293)^5.26)</f>
        <v/>
      </c>
      <c r="J232" s="21">
        <f>0.000665*I232</f>
        <v/>
      </c>
      <c r="K232" s="18">
        <f>원데이터!G232*4.87/LN(67.8*설정!$B$4-5.42)</f>
        <v/>
      </c>
      <c r="L232" s="12">
        <f>1+0.033*COS(2*PI()*B232/365)</f>
        <v/>
      </c>
      <c r="M232" s="21">
        <f>0.409*SIN(2*PI()*B232/365-1.39)</f>
        <v/>
      </c>
      <c r="N232" s="21">
        <f>ACOS(-TAN(RADIANS(설정!$B$2))*TAN(M232))</f>
        <v/>
      </c>
      <c r="O232" s="18">
        <f>(24*60/PI())*0.082*L232*(N232*SIN(RADIANS(설정!$B$2))*SIN(M232)+COS(RADIANS(설정!$B$2))*COS(M232)*SIN(N232))</f>
        <v/>
      </c>
      <c r="P232" s="18">
        <f>(0.75+0.00002*설정!$B$3)*O232</f>
        <v/>
      </c>
      <c r="Q232" s="18">
        <f>IF(원데이터!K232&lt;&gt;"",원데이터!K232,(0.25+0.5*원데이터!L232/(24/PI()*N232))*O232)</f>
        <v/>
      </c>
      <c r="R232" s="18">
        <f>0.77*Q232</f>
        <v/>
      </c>
      <c r="S232" s="18">
        <f>0.000000004903*(((원데이터!B232+273.16)^4+(원데이터!C232+273.16)^4)/2)*(0.34-0.14*SQRT(G232))*(1.35*MIN(Q232/P232,1)-0.35)</f>
        <v/>
      </c>
      <c r="T232" s="18">
        <f>R232-S232</f>
        <v/>
      </c>
      <c r="U232" s="18">
        <f>(0.408*H232*T232+J232*(900/(C232+273))*K232*(F232-G232))/(H232+J232*(1+0.34*K232))</f>
        <v/>
      </c>
      <c r="V232" s="11">
        <f>IF(원데이터!A232-설정!$B$16&lt;0,"발아전",IF(원데이터!A232-설정!$B$16&lt;설정!$B$17,"초기",IF(원데이터!A232-설정!$B$16&lt;설정!$B$17+설정!$B$18,"발육",IF(원데이터!A232-설정!$B$16&lt;설정!$B$17+설정!$B$18+설정!$B$19,"중기",IF(원데이터!A232-설정!$B$16&lt;설정!$B$17+설정!$B$18+설정!$B$19+설정!$B$20,"후기","후기이후")))))</f>
        <v/>
      </c>
      <c r="W232" s="12">
        <f>IF(원데이터!A232-설정!$B$16&lt;0,0,IF(원데이터!A232-설정!$B$16&lt;설정!$B$17,설정!$B$33,IF(원데이터!A232-설정!$B$16&lt;설정!$B$17+설정!$B$18,설정!$B$33+(설정!$B$34-설정!$B$33)*(원데이터!A232-설정!$B$16-설정!$B$17+1)/설정!$B$18,IF(원데이터!A232-설정!$B$16&lt;설정!$B$17+설정!$B$18+설정!$B$19,설정!$B$34,IF(원데이터!A232-설정!$B$16&lt;설정!$B$17+설정!$B$18+설정!$B$19+설정!$B$20,설정!$B$34+(설정!$B$35-설정!$B$34)*(원데이터!A232-설정!$B$16-설정!$B$17-설정!$B$18-설정!$B$19+1)/설정!$B$20,0)))))</f>
        <v/>
      </c>
      <c r="X232" s="12">
        <f>0.108-0.0286*K232+0.0422*LN(설정!$B$5)+0.1434*LN(원데이터!E232)-0.000631*LN(설정!$B$5)^2*LN(원데이터!E232)</f>
        <v/>
      </c>
      <c r="Y232" s="17">
        <f>원데이터!M232</f>
        <v/>
      </c>
      <c r="Z232" s="18">
        <f>X232*Y232</f>
        <v/>
      </c>
      <c r="AA232" s="18">
        <f>U232*W232</f>
        <v/>
      </c>
      <c r="AB232" s="18">
        <f>Z232*W232</f>
        <v/>
      </c>
    </row>
    <row r="233">
      <c r="A233" s="15">
        <f>원데이터!A233</f>
        <v/>
      </c>
      <c r="B233" s="14">
        <f>원데이터!A233-DATE(YEAR(원데이터!A233),1,1)+1</f>
        <v/>
      </c>
      <c r="C233" s="17">
        <f>(원데이터!B233+원데이터!C233)/2</f>
        <v/>
      </c>
      <c r="D233" s="12">
        <f>0.6108*EXP(17.27*원데이터!B233/(원데이터!B233+237.3))</f>
        <v/>
      </c>
      <c r="E233" s="12">
        <f>0.6108*EXP(17.27*원데이터!C233/(원데이터!C233+237.3))</f>
        <v/>
      </c>
      <c r="F233" s="12">
        <f>(D233+E233)/2</f>
        <v/>
      </c>
      <c r="G233" s="12">
        <f>IF(원데이터!H233&lt;&gt;"",원데이터!H233/10,IF(원데이터!I233&lt;&gt;"",0.6108*EXP(17.27*원데이터!I233/(원데이터!I233+237.3)),원데이터!E233/100*F233))</f>
        <v/>
      </c>
      <c r="H233" s="21">
        <f>4098*(0.6108*EXP(17.27*C233/(C233+237.3)))/(C233+237.3)^2</f>
        <v/>
      </c>
      <c r="I233" s="17">
        <f>IF(원데이터!J233&lt;&gt;"",원데이터!J233/10,101.3*((293-0.0065*설정!$B$3)/293)^5.26)</f>
        <v/>
      </c>
      <c r="J233" s="21">
        <f>0.000665*I233</f>
        <v/>
      </c>
      <c r="K233" s="18">
        <f>원데이터!G233*4.87/LN(67.8*설정!$B$4-5.42)</f>
        <v/>
      </c>
      <c r="L233" s="12">
        <f>1+0.033*COS(2*PI()*B233/365)</f>
        <v/>
      </c>
      <c r="M233" s="21">
        <f>0.409*SIN(2*PI()*B233/365-1.39)</f>
        <v/>
      </c>
      <c r="N233" s="21">
        <f>ACOS(-TAN(RADIANS(설정!$B$2))*TAN(M233))</f>
        <v/>
      </c>
      <c r="O233" s="18">
        <f>(24*60/PI())*0.082*L233*(N233*SIN(RADIANS(설정!$B$2))*SIN(M233)+COS(RADIANS(설정!$B$2))*COS(M233)*SIN(N233))</f>
        <v/>
      </c>
      <c r="P233" s="18">
        <f>(0.75+0.00002*설정!$B$3)*O233</f>
        <v/>
      </c>
      <c r="Q233" s="18">
        <f>IF(원데이터!K233&lt;&gt;"",원데이터!K233,(0.25+0.5*원데이터!L233/(24/PI()*N233))*O233)</f>
        <v/>
      </c>
      <c r="R233" s="18">
        <f>0.77*Q233</f>
        <v/>
      </c>
      <c r="S233" s="18">
        <f>0.000000004903*(((원데이터!B233+273.16)^4+(원데이터!C233+273.16)^4)/2)*(0.34-0.14*SQRT(G233))*(1.35*MIN(Q233/P233,1)-0.35)</f>
        <v/>
      </c>
      <c r="T233" s="18">
        <f>R233-S233</f>
        <v/>
      </c>
      <c r="U233" s="18">
        <f>(0.408*H233*T233+J233*(900/(C233+273))*K233*(F233-G233))/(H233+J233*(1+0.34*K233))</f>
        <v/>
      </c>
      <c r="V233" s="11">
        <f>IF(원데이터!A233-설정!$B$16&lt;0,"발아전",IF(원데이터!A233-설정!$B$16&lt;설정!$B$17,"초기",IF(원데이터!A233-설정!$B$16&lt;설정!$B$17+설정!$B$18,"발육",IF(원데이터!A233-설정!$B$16&lt;설정!$B$17+설정!$B$18+설정!$B$19,"중기",IF(원데이터!A233-설정!$B$16&lt;설정!$B$17+설정!$B$18+설정!$B$19+설정!$B$20,"후기","후기이후")))))</f>
        <v/>
      </c>
      <c r="W233" s="12">
        <f>IF(원데이터!A233-설정!$B$16&lt;0,0,IF(원데이터!A233-설정!$B$16&lt;설정!$B$17,설정!$B$33,IF(원데이터!A233-설정!$B$16&lt;설정!$B$17+설정!$B$18,설정!$B$33+(설정!$B$34-설정!$B$33)*(원데이터!A233-설정!$B$16-설정!$B$17+1)/설정!$B$18,IF(원데이터!A233-설정!$B$16&lt;설정!$B$17+설정!$B$18+설정!$B$19,설정!$B$34,IF(원데이터!A233-설정!$B$16&lt;설정!$B$17+설정!$B$18+설정!$B$19+설정!$B$20,설정!$B$34+(설정!$B$35-설정!$B$34)*(원데이터!A233-설정!$B$16-설정!$B$17-설정!$B$18-설정!$B$19+1)/설정!$B$20,0)))))</f>
        <v/>
      </c>
      <c r="X233" s="12">
        <f>0.108-0.0286*K233+0.0422*LN(설정!$B$5)+0.1434*LN(원데이터!E233)-0.000631*LN(설정!$B$5)^2*LN(원데이터!E233)</f>
        <v/>
      </c>
      <c r="Y233" s="17">
        <f>원데이터!M233</f>
        <v/>
      </c>
      <c r="Z233" s="18">
        <f>X233*Y233</f>
        <v/>
      </c>
      <c r="AA233" s="18">
        <f>U233*W233</f>
        <v/>
      </c>
      <c r="AB233" s="18">
        <f>Z233*W233</f>
        <v/>
      </c>
    </row>
    <row r="234">
      <c r="A234" s="15">
        <f>원데이터!A234</f>
        <v/>
      </c>
      <c r="B234" s="14">
        <f>원데이터!A234-DATE(YEAR(원데이터!A234),1,1)+1</f>
        <v/>
      </c>
      <c r="C234" s="17">
        <f>(원데이터!B234+원데이터!C234)/2</f>
        <v/>
      </c>
      <c r="D234" s="12">
        <f>0.6108*EXP(17.27*원데이터!B234/(원데이터!B234+237.3))</f>
        <v/>
      </c>
      <c r="E234" s="12">
        <f>0.6108*EXP(17.27*원데이터!C234/(원데이터!C234+237.3))</f>
        <v/>
      </c>
      <c r="F234" s="12">
        <f>(D234+E234)/2</f>
        <v/>
      </c>
      <c r="G234" s="12">
        <f>IF(원데이터!H234&lt;&gt;"",원데이터!H234/10,IF(원데이터!I234&lt;&gt;"",0.6108*EXP(17.27*원데이터!I234/(원데이터!I234+237.3)),원데이터!E234/100*F234))</f>
        <v/>
      </c>
      <c r="H234" s="21">
        <f>4098*(0.6108*EXP(17.27*C234/(C234+237.3)))/(C234+237.3)^2</f>
        <v/>
      </c>
      <c r="I234" s="17">
        <f>IF(원데이터!J234&lt;&gt;"",원데이터!J234/10,101.3*((293-0.0065*설정!$B$3)/293)^5.26)</f>
        <v/>
      </c>
      <c r="J234" s="21">
        <f>0.000665*I234</f>
        <v/>
      </c>
      <c r="K234" s="18">
        <f>원데이터!G234*4.87/LN(67.8*설정!$B$4-5.42)</f>
        <v/>
      </c>
      <c r="L234" s="12">
        <f>1+0.033*COS(2*PI()*B234/365)</f>
        <v/>
      </c>
      <c r="M234" s="21">
        <f>0.409*SIN(2*PI()*B234/365-1.39)</f>
        <v/>
      </c>
      <c r="N234" s="21">
        <f>ACOS(-TAN(RADIANS(설정!$B$2))*TAN(M234))</f>
        <v/>
      </c>
      <c r="O234" s="18">
        <f>(24*60/PI())*0.082*L234*(N234*SIN(RADIANS(설정!$B$2))*SIN(M234)+COS(RADIANS(설정!$B$2))*COS(M234)*SIN(N234))</f>
        <v/>
      </c>
      <c r="P234" s="18">
        <f>(0.75+0.00002*설정!$B$3)*O234</f>
        <v/>
      </c>
      <c r="Q234" s="18">
        <f>IF(원데이터!K234&lt;&gt;"",원데이터!K234,(0.25+0.5*원데이터!L234/(24/PI()*N234))*O234)</f>
        <v/>
      </c>
      <c r="R234" s="18">
        <f>0.77*Q234</f>
        <v/>
      </c>
      <c r="S234" s="18">
        <f>0.000000004903*(((원데이터!B234+273.16)^4+(원데이터!C234+273.16)^4)/2)*(0.34-0.14*SQRT(G234))*(1.35*MIN(Q234/P234,1)-0.35)</f>
        <v/>
      </c>
      <c r="T234" s="18">
        <f>R234-S234</f>
        <v/>
      </c>
      <c r="U234" s="18">
        <f>(0.408*H234*T234+J234*(900/(C234+273))*K234*(F234-G234))/(H234+J234*(1+0.34*K234))</f>
        <v/>
      </c>
      <c r="V234" s="11">
        <f>IF(원데이터!A234-설정!$B$16&lt;0,"발아전",IF(원데이터!A234-설정!$B$16&lt;설정!$B$17,"초기",IF(원데이터!A234-설정!$B$16&lt;설정!$B$17+설정!$B$18,"발육",IF(원데이터!A234-설정!$B$16&lt;설정!$B$17+설정!$B$18+설정!$B$19,"중기",IF(원데이터!A234-설정!$B$16&lt;설정!$B$17+설정!$B$18+설정!$B$19+설정!$B$20,"후기","후기이후")))))</f>
        <v/>
      </c>
      <c r="W234" s="12">
        <f>IF(원데이터!A234-설정!$B$16&lt;0,0,IF(원데이터!A234-설정!$B$16&lt;설정!$B$17,설정!$B$33,IF(원데이터!A234-설정!$B$16&lt;설정!$B$17+설정!$B$18,설정!$B$33+(설정!$B$34-설정!$B$33)*(원데이터!A234-설정!$B$16-설정!$B$17+1)/설정!$B$18,IF(원데이터!A234-설정!$B$16&lt;설정!$B$17+설정!$B$18+설정!$B$19,설정!$B$34,IF(원데이터!A234-설정!$B$16&lt;설정!$B$17+설정!$B$18+설정!$B$19+설정!$B$20,설정!$B$34+(설정!$B$35-설정!$B$34)*(원데이터!A234-설정!$B$16-설정!$B$17-설정!$B$18-설정!$B$19+1)/설정!$B$20,0)))))</f>
        <v/>
      </c>
      <c r="X234" s="12">
        <f>0.108-0.0286*K234+0.0422*LN(설정!$B$5)+0.1434*LN(원데이터!E234)-0.000631*LN(설정!$B$5)^2*LN(원데이터!E234)</f>
        <v/>
      </c>
      <c r="Y234" s="17">
        <f>원데이터!M234</f>
        <v/>
      </c>
      <c r="Z234" s="18">
        <f>X234*Y234</f>
        <v/>
      </c>
      <c r="AA234" s="18">
        <f>U234*W234</f>
        <v/>
      </c>
      <c r="AB234" s="18">
        <f>Z234*W234</f>
        <v/>
      </c>
    </row>
    <row r="235">
      <c r="A235" s="15">
        <f>원데이터!A235</f>
        <v/>
      </c>
      <c r="B235" s="14">
        <f>원데이터!A235-DATE(YEAR(원데이터!A235),1,1)+1</f>
        <v/>
      </c>
      <c r="C235" s="17">
        <f>(원데이터!B235+원데이터!C235)/2</f>
        <v/>
      </c>
      <c r="D235" s="12">
        <f>0.6108*EXP(17.27*원데이터!B235/(원데이터!B235+237.3))</f>
        <v/>
      </c>
      <c r="E235" s="12">
        <f>0.6108*EXP(17.27*원데이터!C235/(원데이터!C235+237.3))</f>
        <v/>
      </c>
      <c r="F235" s="12">
        <f>(D235+E235)/2</f>
        <v/>
      </c>
      <c r="G235" s="12">
        <f>IF(원데이터!H235&lt;&gt;"",원데이터!H235/10,IF(원데이터!I235&lt;&gt;"",0.6108*EXP(17.27*원데이터!I235/(원데이터!I235+237.3)),원데이터!E235/100*F235))</f>
        <v/>
      </c>
      <c r="H235" s="21">
        <f>4098*(0.6108*EXP(17.27*C235/(C235+237.3)))/(C235+237.3)^2</f>
        <v/>
      </c>
      <c r="I235" s="17">
        <f>IF(원데이터!J235&lt;&gt;"",원데이터!J235/10,101.3*((293-0.0065*설정!$B$3)/293)^5.26)</f>
        <v/>
      </c>
      <c r="J235" s="21">
        <f>0.000665*I235</f>
        <v/>
      </c>
      <c r="K235" s="18">
        <f>원데이터!G235*4.87/LN(67.8*설정!$B$4-5.42)</f>
        <v/>
      </c>
      <c r="L235" s="12">
        <f>1+0.033*COS(2*PI()*B235/365)</f>
        <v/>
      </c>
      <c r="M235" s="21">
        <f>0.409*SIN(2*PI()*B235/365-1.39)</f>
        <v/>
      </c>
      <c r="N235" s="21">
        <f>ACOS(-TAN(RADIANS(설정!$B$2))*TAN(M235))</f>
        <v/>
      </c>
      <c r="O235" s="18">
        <f>(24*60/PI())*0.082*L235*(N235*SIN(RADIANS(설정!$B$2))*SIN(M235)+COS(RADIANS(설정!$B$2))*COS(M235)*SIN(N235))</f>
        <v/>
      </c>
      <c r="P235" s="18">
        <f>(0.75+0.00002*설정!$B$3)*O235</f>
        <v/>
      </c>
      <c r="Q235" s="18">
        <f>IF(원데이터!K235&lt;&gt;"",원데이터!K235,(0.25+0.5*원데이터!L235/(24/PI()*N235))*O235)</f>
        <v/>
      </c>
      <c r="R235" s="18">
        <f>0.77*Q235</f>
        <v/>
      </c>
      <c r="S235" s="18">
        <f>0.000000004903*(((원데이터!B235+273.16)^4+(원데이터!C235+273.16)^4)/2)*(0.34-0.14*SQRT(G235))*(1.35*MIN(Q235/P235,1)-0.35)</f>
        <v/>
      </c>
      <c r="T235" s="18">
        <f>R235-S235</f>
        <v/>
      </c>
      <c r="U235" s="18">
        <f>(0.408*H235*T235+J235*(900/(C235+273))*K235*(F235-G235))/(H235+J235*(1+0.34*K235))</f>
        <v/>
      </c>
      <c r="V235" s="11">
        <f>IF(원데이터!A235-설정!$B$16&lt;0,"발아전",IF(원데이터!A235-설정!$B$16&lt;설정!$B$17,"초기",IF(원데이터!A235-설정!$B$16&lt;설정!$B$17+설정!$B$18,"발육",IF(원데이터!A235-설정!$B$16&lt;설정!$B$17+설정!$B$18+설정!$B$19,"중기",IF(원데이터!A235-설정!$B$16&lt;설정!$B$17+설정!$B$18+설정!$B$19+설정!$B$20,"후기","후기이후")))))</f>
        <v/>
      </c>
      <c r="W235" s="12">
        <f>IF(원데이터!A235-설정!$B$16&lt;0,0,IF(원데이터!A235-설정!$B$16&lt;설정!$B$17,설정!$B$33,IF(원데이터!A235-설정!$B$16&lt;설정!$B$17+설정!$B$18,설정!$B$33+(설정!$B$34-설정!$B$33)*(원데이터!A235-설정!$B$16-설정!$B$17+1)/설정!$B$18,IF(원데이터!A235-설정!$B$16&lt;설정!$B$17+설정!$B$18+설정!$B$19,설정!$B$34,IF(원데이터!A235-설정!$B$16&lt;설정!$B$17+설정!$B$18+설정!$B$19+설정!$B$20,설정!$B$34+(설정!$B$35-설정!$B$34)*(원데이터!A235-설정!$B$16-설정!$B$17-설정!$B$18-설정!$B$19+1)/설정!$B$20,0)))))</f>
        <v/>
      </c>
      <c r="X235" s="12">
        <f>0.108-0.0286*K235+0.0422*LN(설정!$B$5)+0.1434*LN(원데이터!E235)-0.000631*LN(설정!$B$5)^2*LN(원데이터!E235)</f>
        <v/>
      </c>
      <c r="Y235" s="17">
        <f>원데이터!M235</f>
        <v/>
      </c>
      <c r="Z235" s="18">
        <f>X235*Y235</f>
        <v/>
      </c>
      <c r="AA235" s="18">
        <f>U235*W235</f>
        <v/>
      </c>
      <c r="AB235" s="18">
        <f>Z235*W235</f>
        <v/>
      </c>
    </row>
    <row r="236">
      <c r="A236" s="15">
        <f>원데이터!A236</f>
        <v/>
      </c>
      <c r="B236" s="14">
        <f>원데이터!A236-DATE(YEAR(원데이터!A236),1,1)+1</f>
        <v/>
      </c>
      <c r="C236" s="17">
        <f>(원데이터!B236+원데이터!C236)/2</f>
        <v/>
      </c>
      <c r="D236" s="12">
        <f>0.6108*EXP(17.27*원데이터!B236/(원데이터!B236+237.3))</f>
        <v/>
      </c>
      <c r="E236" s="12">
        <f>0.6108*EXP(17.27*원데이터!C236/(원데이터!C236+237.3))</f>
        <v/>
      </c>
      <c r="F236" s="12">
        <f>(D236+E236)/2</f>
        <v/>
      </c>
      <c r="G236" s="12">
        <f>IF(원데이터!H236&lt;&gt;"",원데이터!H236/10,IF(원데이터!I236&lt;&gt;"",0.6108*EXP(17.27*원데이터!I236/(원데이터!I236+237.3)),원데이터!E236/100*F236))</f>
        <v/>
      </c>
      <c r="H236" s="21">
        <f>4098*(0.6108*EXP(17.27*C236/(C236+237.3)))/(C236+237.3)^2</f>
        <v/>
      </c>
      <c r="I236" s="17">
        <f>IF(원데이터!J236&lt;&gt;"",원데이터!J236/10,101.3*((293-0.0065*설정!$B$3)/293)^5.26)</f>
        <v/>
      </c>
      <c r="J236" s="21">
        <f>0.000665*I236</f>
        <v/>
      </c>
      <c r="K236" s="18">
        <f>원데이터!G236*4.87/LN(67.8*설정!$B$4-5.42)</f>
        <v/>
      </c>
      <c r="L236" s="12">
        <f>1+0.033*COS(2*PI()*B236/365)</f>
        <v/>
      </c>
      <c r="M236" s="21">
        <f>0.409*SIN(2*PI()*B236/365-1.39)</f>
        <v/>
      </c>
      <c r="N236" s="21">
        <f>ACOS(-TAN(RADIANS(설정!$B$2))*TAN(M236))</f>
        <v/>
      </c>
      <c r="O236" s="18">
        <f>(24*60/PI())*0.082*L236*(N236*SIN(RADIANS(설정!$B$2))*SIN(M236)+COS(RADIANS(설정!$B$2))*COS(M236)*SIN(N236))</f>
        <v/>
      </c>
      <c r="P236" s="18">
        <f>(0.75+0.00002*설정!$B$3)*O236</f>
        <v/>
      </c>
      <c r="Q236" s="18">
        <f>IF(원데이터!K236&lt;&gt;"",원데이터!K236,(0.25+0.5*원데이터!L236/(24/PI()*N236))*O236)</f>
        <v/>
      </c>
      <c r="R236" s="18">
        <f>0.77*Q236</f>
        <v/>
      </c>
      <c r="S236" s="18">
        <f>0.000000004903*(((원데이터!B236+273.16)^4+(원데이터!C236+273.16)^4)/2)*(0.34-0.14*SQRT(G236))*(1.35*MIN(Q236/P236,1)-0.35)</f>
        <v/>
      </c>
      <c r="T236" s="18">
        <f>R236-S236</f>
        <v/>
      </c>
      <c r="U236" s="18">
        <f>(0.408*H236*T236+J236*(900/(C236+273))*K236*(F236-G236))/(H236+J236*(1+0.34*K236))</f>
        <v/>
      </c>
      <c r="V236" s="11">
        <f>IF(원데이터!A236-설정!$B$16&lt;0,"발아전",IF(원데이터!A236-설정!$B$16&lt;설정!$B$17,"초기",IF(원데이터!A236-설정!$B$16&lt;설정!$B$17+설정!$B$18,"발육",IF(원데이터!A236-설정!$B$16&lt;설정!$B$17+설정!$B$18+설정!$B$19,"중기",IF(원데이터!A236-설정!$B$16&lt;설정!$B$17+설정!$B$18+설정!$B$19+설정!$B$20,"후기","후기이후")))))</f>
        <v/>
      </c>
      <c r="W236" s="12">
        <f>IF(원데이터!A236-설정!$B$16&lt;0,0,IF(원데이터!A236-설정!$B$16&lt;설정!$B$17,설정!$B$33,IF(원데이터!A236-설정!$B$16&lt;설정!$B$17+설정!$B$18,설정!$B$33+(설정!$B$34-설정!$B$33)*(원데이터!A236-설정!$B$16-설정!$B$17+1)/설정!$B$18,IF(원데이터!A236-설정!$B$16&lt;설정!$B$17+설정!$B$18+설정!$B$19,설정!$B$34,IF(원데이터!A236-설정!$B$16&lt;설정!$B$17+설정!$B$18+설정!$B$19+설정!$B$20,설정!$B$34+(설정!$B$35-설정!$B$34)*(원데이터!A236-설정!$B$16-설정!$B$17-설정!$B$18-설정!$B$19+1)/설정!$B$20,0)))))</f>
        <v/>
      </c>
      <c r="X236" s="12">
        <f>0.108-0.0286*K236+0.0422*LN(설정!$B$5)+0.1434*LN(원데이터!E236)-0.000631*LN(설정!$B$5)^2*LN(원데이터!E236)</f>
        <v/>
      </c>
      <c r="Y236" s="17">
        <f>원데이터!M236</f>
        <v/>
      </c>
      <c r="Z236" s="18">
        <f>X236*Y236</f>
        <v/>
      </c>
      <c r="AA236" s="18">
        <f>U236*W236</f>
        <v/>
      </c>
      <c r="AB236" s="18">
        <f>Z236*W236</f>
        <v/>
      </c>
    </row>
    <row r="237">
      <c r="A237" s="15">
        <f>원데이터!A237</f>
        <v/>
      </c>
      <c r="B237" s="14">
        <f>원데이터!A237-DATE(YEAR(원데이터!A237),1,1)+1</f>
        <v/>
      </c>
      <c r="C237" s="17">
        <f>(원데이터!B237+원데이터!C237)/2</f>
        <v/>
      </c>
      <c r="D237" s="12">
        <f>0.6108*EXP(17.27*원데이터!B237/(원데이터!B237+237.3))</f>
        <v/>
      </c>
      <c r="E237" s="12">
        <f>0.6108*EXP(17.27*원데이터!C237/(원데이터!C237+237.3))</f>
        <v/>
      </c>
      <c r="F237" s="12">
        <f>(D237+E237)/2</f>
        <v/>
      </c>
      <c r="G237" s="12">
        <f>IF(원데이터!H237&lt;&gt;"",원데이터!H237/10,IF(원데이터!I237&lt;&gt;"",0.6108*EXP(17.27*원데이터!I237/(원데이터!I237+237.3)),원데이터!E237/100*F237))</f>
        <v/>
      </c>
      <c r="H237" s="21">
        <f>4098*(0.6108*EXP(17.27*C237/(C237+237.3)))/(C237+237.3)^2</f>
        <v/>
      </c>
      <c r="I237" s="17">
        <f>IF(원데이터!J237&lt;&gt;"",원데이터!J237/10,101.3*((293-0.0065*설정!$B$3)/293)^5.26)</f>
        <v/>
      </c>
      <c r="J237" s="21">
        <f>0.000665*I237</f>
        <v/>
      </c>
      <c r="K237" s="18">
        <f>원데이터!G237*4.87/LN(67.8*설정!$B$4-5.42)</f>
        <v/>
      </c>
      <c r="L237" s="12">
        <f>1+0.033*COS(2*PI()*B237/365)</f>
        <v/>
      </c>
      <c r="M237" s="21">
        <f>0.409*SIN(2*PI()*B237/365-1.39)</f>
        <v/>
      </c>
      <c r="N237" s="21">
        <f>ACOS(-TAN(RADIANS(설정!$B$2))*TAN(M237))</f>
        <v/>
      </c>
      <c r="O237" s="18">
        <f>(24*60/PI())*0.082*L237*(N237*SIN(RADIANS(설정!$B$2))*SIN(M237)+COS(RADIANS(설정!$B$2))*COS(M237)*SIN(N237))</f>
        <v/>
      </c>
      <c r="P237" s="18">
        <f>(0.75+0.00002*설정!$B$3)*O237</f>
        <v/>
      </c>
      <c r="Q237" s="18">
        <f>IF(원데이터!K237&lt;&gt;"",원데이터!K237,(0.25+0.5*원데이터!L237/(24/PI()*N237))*O237)</f>
        <v/>
      </c>
      <c r="R237" s="18">
        <f>0.77*Q237</f>
        <v/>
      </c>
      <c r="S237" s="18">
        <f>0.000000004903*(((원데이터!B237+273.16)^4+(원데이터!C237+273.16)^4)/2)*(0.34-0.14*SQRT(G237))*(1.35*MIN(Q237/P237,1)-0.35)</f>
        <v/>
      </c>
      <c r="T237" s="18">
        <f>R237-S237</f>
        <v/>
      </c>
      <c r="U237" s="18">
        <f>(0.408*H237*T237+J237*(900/(C237+273))*K237*(F237-G237))/(H237+J237*(1+0.34*K237))</f>
        <v/>
      </c>
      <c r="V237" s="11">
        <f>IF(원데이터!A237-설정!$B$16&lt;0,"발아전",IF(원데이터!A237-설정!$B$16&lt;설정!$B$17,"초기",IF(원데이터!A237-설정!$B$16&lt;설정!$B$17+설정!$B$18,"발육",IF(원데이터!A237-설정!$B$16&lt;설정!$B$17+설정!$B$18+설정!$B$19,"중기",IF(원데이터!A237-설정!$B$16&lt;설정!$B$17+설정!$B$18+설정!$B$19+설정!$B$20,"후기","후기이후")))))</f>
        <v/>
      </c>
      <c r="W237" s="12">
        <f>IF(원데이터!A237-설정!$B$16&lt;0,0,IF(원데이터!A237-설정!$B$16&lt;설정!$B$17,설정!$B$33,IF(원데이터!A237-설정!$B$16&lt;설정!$B$17+설정!$B$18,설정!$B$33+(설정!$B$34-설정!$B$33)*(원데이터!A237-설정!$B$16-설정!$B$17+1)/설정!$B$18,IF(원데이터!A237-설정!$B$16&lt;설정!$B$17+설정!$B$18+설정!$B$19,설정!$B$34,IF(원데이터!A237-설정!$B$16&lt;설정!$B$17+설정!$B$18+설정!$B$19+설정!$B$20,설정!$B$34+(설정!$B$35-설정!$B$34)*(원데이터!A237-설정!$B$16-설정!$B$17-설정!$B$18-설정!$B$19+1)/설정!$B$20,0)))))</f>
        <v/>
      </c>
      <c r="X237" s="12">
        <f>0.108-0.0286*K237+0.0422*LN(설정!$B$5)+0.1434*LN(원데이터!E237)-0.000631*LN(설정!$B$5)^2*LN(원데이터!E237)</f>
        <v/>
      </c>
      <c r="Y237" s="17">
        <f>원데이터!M237</f>
        <v/>
      </c>
      <c r="Z237" s="18">
        <f>X237*Y237</f>
        <v/>
      </c>
      <c r="AA237" s="18">
        <f>U237*W237</f>
        <v/>
      </c>
      <c r="AB237" s="18">
        <f>Z237*W237</f>
        <v/>
      </c>
    </row>
    <row r="238">
      <c r="A238" s="15">
        <f>원데이터!A238</f>
        <v/>
      </c>
      <c r="B238" s="14">
        <f>원데이터!A238-DATE(YEAR(원데이터!A238),1,1)+1</f>
        <v/>
      </c>
      <c r="C238" s="17">
        <f>(원데이터!B238+원데이터!C238)/2</f>
        <v/>
      </c>
      <c r="D238" s="12">
        <f>0.6108*EXP(17.27*원데이터!B238/(원데이터!B238+237.3))</f>
        <v/>
      </c>
      <c r="E238" s="12">
        <f>0.6108*EXP(17.27*원데이터!C238/(원데이터!C238+237.3))</f>
        <v/>
      </c>
      <c r="F238" s="12">
        <f>(D238+E238)/2</f>
        <v/>
      </c>
      <c r="G238" s="12">
        <f>IF(원데이터!H238&lt;&gt;"",원데이터!H238/10,IF(원데이터!I238&lt;&gt;"",0.6108*EXP(17.27*원데이터!I238/(원데이터!I238+237.3)),원데이터!E238/100*F238))</f>
        <v/>
      </c>
      <c r="H238" s="21">
        <f>4098*(0.6108*EXP(17.27*C238/(C238+237.3)))/(C238+237.3)^2</f>
        <v/>
      </c>
      <c r="I238" s="17">
        <f>IF(원데이터!J238&lt;&gt;"",원데이터!J238/10,101.3*((293-0.0065*설정!$B$3)/293)^5.26)</f>
        <v/>
      </c>
      <c r="J238" s="21">
        <f>0.000665*I238</f>
        <v/>
      </c>
      <c r="K238" s="18">
        <f>원데이터!G238*4.87/LN(67.8*설정!$B$4-5.42)</f>
        <v/>
      </c>
      <c r="L238" s="12">
        <f>1+0.033*COS(2*PI()*B238/365)</f>
        <v/>
      </c>
      <c r="M238" s="21">
        <f>0.409*SIN(2*PI()*B238/365-1.39)</f>
        <v/>
      </c>
      <c r="N238" s="21">
        <f>ACOS(-TAN(RADIANS(설정!$B$2))*TAN(M238))</f>
        <v/>
      </c>
      <c r="O238" s="18">
        <f>(24*60/PI())*0.082*L238*(N238*SIN(RADIANS(설정!$B$2))*SIN(M238)+COS(RADIANS(설정!$B$2))*COS(M238)*SIN(N238))</f>
        <v/>
      </c>
      <c r="P238" s="18">
        <f>(0.75+0.00002*설정!$B$3)*O238</f>
        <v/>
      </c>
      <c r="Q238" s="18">
        <f>IF(원데이터!K238&lt;&gt;"",원데이터!K238,(0.25+0.5*원데이터!L238/(24/PI()*N238))*O238)</f>
        <v/>
      </c>
      <c r="R238" s="18">
        <f>0.77*Q238</f>
        <v/>
      </c>
      <c r="S238" s="18">
        <f>0.000000004903*(((원데이터!B238+273.16)^4+(원데이터!C238+273.16)^4)/2)*(0.34-0.14*SQRT(G238))*(1.35*MIN(Q238/P238,1)-0.35)</f>
        <v/>
      </c>
      <c r="T238" s="18">
        <f>R238-S238</f>
        <v/>
      </c>
      <c r="U238" s="18">
        <f>(0.408*H238*T238+J238*(900/(C238+273))*K238*(F238-G238))/(H238+J238*(1+0.34*K238))</f>
        <v/>
      </c>
      <c r="V238" s="11">
        <f>IF(원데이터!A238-설정!$B$16&lt;0,"발아전",IF(원데이터!A238-설정!$B$16&lt;설정!$B$17,"초기",IF(원데이터!A238-설정!$B$16&lt;설정!$B$17+설정!$B$18,"발육",IF(원데이터!A238-설정!$B$16&lt;설정!$B$17+설정!$B$18+설정!$B$19,"중기",IF(원데이터!A238-설정!$B$16&lt;설정!$B$17+설정!$B$18+설정!$B$19+설정!$B$20,"후기","후기이후")))))</f>
        <v/>
      </c>
      <c r="W238" s="12">
        <f>IF(원데이터!A238-설정!$B$16&lt;0,0,IF(원데이터!A238-설정!$B$16&lt;설정!$B$17,설정!$B$33,IF(원데이터!A238-설정!$B$16&lt;설정!$B$17+설정!$B$18,설정!$B$33+(설정!$B$34-설정!$B$33)*(원데이터!A238-설정!$B$16-설정!$B$17+1)/설정!$B$18,IF(원데이터!A238-설정!$B$16&lt;설정!$B$17+설정!$B$18+설정!$B$19,설정!$B$34,IF(원데이터!A238-설정!$B$16&lt;설정!$B$17+설정!$B$18+설정!$B$19+설정!$B$20,설정!$B$34+(설정!$B$35-설정!$B$34)*(원데이터!A238-설정!$B$16-설정!$B$17-설정!$B$18-설정!$B$19+1)/설정!$B$20,0)))))</f>
        <v/>
      </c>
      <c r="X238" s="12">
        <f>0.108-0.0286*K238+0.0422*LN(설정!$B$5)+0.1434*LN(원데이터!E238)-0.000631*LN(설정!$B$5)^2*LN(원데이터!E238)</f>
        <v/>
      </c>
      <c r="Y238" s="17">
        <f>원데이터!M238</f>
        <v/>
      </c>
      <c r="Z238" s="18">
        <f>X238*Y238</f>
        <v/>
      </c>
      <c r="AA238" s="18">
        <f>U238*W238</f>
        <v/>
      </c>
      <c r="AB238" s="18">
        <f>Z238*W238</f>
        <v/>
      </c>
    </row>
    <row r="239">
      <c r="A239" s="15">
        <f>원데이터!A239</f>
        <v/>
      </c>
      <c r="B239" s="14">
        <f>원데이터!A239-DATE(YEAR(원데이터!A239),1,1)+1</f>
        <v/>
      </c>
      <c r="C239" s="17">
        <f>(원데이터!B239+원데이터!C239)/2</f>
        <v/>
      </c>
      <c r="D239" s="12">
        <f>0.6108*EXP(17.27*원데이터!B239/(원데이터!B239+237.3))</f>
        <v/>
      </c>
      <c r="E239" s="12">
        <f>0.6108*EXP(17.27*원데이터!C239/(원데이터!C239+237.3))</f>
        <v/>
      </c>
      <c r="F239" s="12">
        <f>(D239+E239)/2</f>
        <v/>
      </c>
      <c r="G239" s="12">
        <f>IF(원데이터!H239&lt;&gt;"",원데이터!H239/10,IF(원데이터!I239&lt;&gt;"",0.6108*EXP(17.27*원데이터!I239/(원데이터!I239+237.3)),원데이터!E239/100*F239))</f>
        <v/>
      </c>
      <c r="H239" s="21">
        <f>4098*(0.6108*EXP(17.27*C239/(C239+237.3)))/(C239+237.3)^2</f>
        <v/>
      </c>
      <c r="I239" s="17">
        <f>IF(원데이터!J239&lt;&gt;"",원데이터!J239/10,101.3*((293-0.0065*설정!$B$3)/293)^5.26)</f>
        <v/>
      </c>
      <c r="J239" s="21">
        <f>0.000665*I239</f>
        <v/>
      </c>
      <c r="K239" s="18">
        <f>원데이터!G239*4.87/LN(67.8*설정!$B$4-5.42)</f>
        <v/>
      </c>
      <c r="L239" s="12">
        <f>1+0.033*COS(2*PI()*B239/365)</f>
        <v/>
      </c>
      <c r="M239" s="21">
        <f>0.409*SIN(2*PI()*B239/365-1.39)</f>
        <v/>
      </c>
      <c r="N239" s="21">
        <f>ACOS(-TAN(RADIANS(설정!$B$2))*TAN(M239))</f>
        <v/>
      </c>
      <c r="O239" s="18">
        <f>(24*60/PI())*0.082*L239*(N239*SIN(RADIANS(설정!$B$2))*SIN(M239)+COS(RADIANS(설정!$B$2))*COS(M239)*SIN(N239))</f>
        <v/>
      </c>
      <c r="P239" s="18">
        <f>(0.75+0.00002*설정!$B$3)*O239</f>
        <v/>
      </c>
      <c r="Q239" s="18">
        <f>IF(원데이터!K239&lt;&gt;"",원데이터!K239,(0.25+0.5*원데이터!L239/(24/PI()*N239))*O239)</f>
        <v/>
      </c>
      <c r="R239" s="18">
        <f>0.77*Q239</f>
        <v/>
      </c>
      <c r="S239" s="18">
        <f>0.000000004903*(((원데이터!B239+273.16)^4+(원데이터!C239+273.16)^4)/2)*(0.34-0.14*SQRT(G239))*(1.35*MIN(Q239/P239,1)-0.35)</f>
        <v/>
      </c>
      <c r="T239" s="18">
        <f>R239-S239</f>
        <v/>
      </c>
      <c r="U239" s="18">
        <f>(0.408*H239*T239+J239*(900/(C239+273))*K239*(F239-G239))/(H239+J239*(1+0.34*K239))</f>
        <v/>
      </c>
      <c r="V239" s="11">
        <f>IF(원데이터!A239-설정!$B$16&lt;0,"발아전",IF(원데이터!A239-설정!$B$16&lt;설정!$B$17,"초기",IF(원데이터!A239-설정!$B$16&lt;설정!$B$17+설정!$B$18,"발육",IF(원데이터!A239-설정!$B$16&lt;설정!$B$17+설정!$B$18+설정!$B$19,"중기",IF(원데이터!A239-설정!$B$16&lt;설정!$B$17+설정!$B$18+설정!$B$19+설정!$B$20,"후기","후기이후")))))</f>
        <v/>
      </c>
      <c r="W239" s="12">
        <f>IF(원데이터!A239-설정!$B$16&lt;0,0,IF(원데이터!A239-설정!$B$16&lt;설정!$B$17,설정!$B$33,IF(원데이터!A239-설정!$B$16&lt;설정!$B$17+설정!$B$18,설정!$B$33+(설정!$B$34-설정!$B$33)*(원데이터!A239-설정!$B$16-설정!$B$17+1)/설정!$B$18,IF(원데이터!A239-설정!$B$16&lt;설정!$B$17+설정!$B$18+설정!$B$19,설정!$B$34,IF(원데이터!A239-설정!$B$16&lt;설정!$B$17+설정!$B$18+설정!$B$19+설정!$B$20,설정!$B$34+(설정!$B$35-설정!$B$34)*(원데이터!A239-설정!$B$16-설정!$B$17-설정!$B$18-설정!$B$19+1)/설정!$B$20,0)))))</f>
        <v/>
      </c>
      <c r="X239" s="12">
        <f>0.108-0.0286*K239+0.0422*LN(설정!$B$5)+0.1434*LN(원데이터!E239)-0.000631*LN(설정!$B$5)^2*LN(원데이터!E239)</f>
        <v/>
      </c>
      <c r="Y239" s="17">
        <f>원데이터!M239</f>
        <v/>
      </c>
      <c r="Z239" s="18">
        <f>X239*Y239</f>
        <v/>
      </c>
      <c r="AA239" s="18">
        <f>U239*W239</f>
        <v/>
      </c>
      <c r="AB239" s="18">
        <f>Z239*W239</f>
        <v/>
      </c>
    </row>
    <row r="240">
      <c r="A240" s="15">
        <f>원데이터!A240</f>
        <v/>
      </c>
      <c r="B240" s="14">
        <f>원데이터!A240-DATE(YEAR(원데이터!A240),1,1)+1</f>
        <v/>
      </c>
      <c r="C240" s="17">
        <f>(원데이터!B240+원데이터!C240)/2</f>
        <v/>
      </c>
      <c r="D240" s="12">
        <f>0.6108*EXP(17.27*원데이터!B240/(원데이터!B240+237.3))</f>
        <v/>
      </c>
      <c r="E240" s="12">
        <f>0.6108*EXP(17.27*원데이터!C240/(원데이터!C240+237.3))</f>
        <v/>
      </c>
      <c r="F240" s="12">
        <f>(D240+E240)/2</f>
        <v/>
      </c>
      <c r="G240" s="12">
        <f>IF(원데이터!H240&lt;&gt;"",원데이터!H240/10,IF(원데이터!I240&lt;&gt;"",0.6108*EXP(17.27*원데이터!I240/(원데이터!I240+237.3)),원데이터!E240/100*F240))</f>
        <v/>
      </c>
      <c r="H240" s="21">
        <f>4098*(0.6108*EXP(17.27*C240/(C240+237.3)))/(C240+237.3)^2</f>
        <v/>
      </c>
      <c r="I240" s="17">
        <f>IF(원데이터!J240&lt;&gt;"",원데이터!J240/10,101.3*((293-0.0065*설정!$B$3)/293)^5.26)</f>
        <v/>
      </c>
      <c r="J240" s="21">
        <f>0.000665*I240</f>
        <v/>
      </c>
      <c r="K240" s="18">
        <f>원데이터!G240*4.87/LN(67.8*설정!$B$4-5.42)</f>
        <v/>
      </c>
      <c r="L240" s="12">
        <f>1+0.033*COS(2*PI()*B240/365)</f>
        <v/>
      </c>
      <c r="M240" s="21">
        <f>0.409*SIN(2*PI()*B240/365-1.39)</f>
        <v/>
      </c>
      <c r="N240" s="21">
        <f>ACOS(-TAN(RADIANS(설정!$B$2))*TAN(M240))</f>
        <v/>
      </c>
      <c r="O240" s="18">
        <f>(24*60/PI())*0.082*L240*(N240*SIN(RADIANS(설정!$B$2))*SIN(M240)+COS(RADIANS(설정!$B$2))*COS(M240)*SIN(N240))</f>
        <v/>
      </c>
      <c r="P240" s="18">
        <f>(0.75+0.00002*설정!$B$3)*O240</f>
        <v/>
      </c>
      <c r="Q240" s="18">
        <f>IF(원데이터!K240&lt;&gt;"",원데이터!K240,(0.25+0.5*원데이터!L240/(24/PI()*N240))*O240)</f>
        <v/>
      </c>
      <c r="R240" s="18">
        <f>0.77*Q240</f>
        <v/>
      </c>
      <c r="S240" s="18">
        <f>0.000000004903*(((원데이터!B240+273.16)^4+(원데이터!C240+273.16)^4)/2)*(0.34-0.14*SQRT(G240))*(1.35*MIN(Q240/P240,1)-0.35)</f>
        <v/>
      </c>
      <c r="T240" s="18">
        <f>R240-S240</f>
        <v/>
      </c>
      <c r="U240" s="18">
        <f>(0.408*H240*T240+J240*(900/(C240+273))*K240*(F240-G240))/(H240+J240*(1+0.34*K240))</f>
        <v/>
      </c>
      <c r="V240" s="11">
        <f>IF(원데이터!A240-설정!$B$16&lt;0,"발아전",IF(원데이터!A240-설정!$B$16&lt;설정!$B$17,"초기",IF(원데이터!A240-설정!$B$16&lt;설정!$B$17+설정!$B$18,"발육",IF(원데이터!A240-설정!$B$16&lt;설정!$B$17+설정!$B$18+설정!$B$19,"중기",IF(원데이터!A240-설정!$B$16&lt;설정!$B$17+설정!$B$18+설정!$B$19+설정!$B$20,"후기","후기이후")))))</f>
        <v/>
      </c>
      <c r="W240" s="12">
        <f>IF(원데이터!A240-설정!$B$16&lt;0,0,IF(원데이터!A240-설정!$B$16&lt;설정!$B$17,설정!$B$33,IF(원데이터!A240-설정!$B$16&lt;설정!$B$17+설정!$B$18,설정!$B$33+(설정!$B$34-설정!$B$33)*(원데이터!A240-설정!$B$16-설정!$B$17+1)/설정!$B$18,IF(원데이터!A240-설정!$B$16&lt;설정!$B$17+설정!$B$18+설정!$B$19,설정!$B$34,IF(원데이터!A240-설정!$B$16&lt;설정!$B$17+설정!$B$18+설정!$B$19+설정!$B$20,설정!$B$34+(설정!$B$35-설정!$B$34)*(원데이터!A240-설정!$B$16-설정!$B$17-설정!$B$18-설정!$B$19+1)/설정!$B$20,0)))))</f>
        <v/>
      </c>
      <c r="X240" s="12">
        <f>0.108-0.0286*K240+0.0422*LN(설정!$B$5)+0.1434*LN(원데이터!E240)-0.000631*LN(설정!$B$5)^2*LN(원데이터!E240)</f>
        <v/>
      </c>
      <c r="Y240" s="17">
        <f>원데이터!M240</f>
        <v/>
      </c>
      <c r="Z240" s="18">
        <f>X240*Y240</f>
        <v/>
      </c>
      <c r="AA240" s="18">
        <f>U240*W240</f>
        <v/>
      </c>
      <c r="AB240" s="18">
        <f>Z240*W240</f>
        <v/>
      </c>
    </row>
    <row r="241">
      <c r="A241" s="15">
        <f>원데이터!A241</f>
        <v/>
      </c>
      <c r="B241" s="14">
        <f>원데이터!A241-DATE(YEAR(원데이터!A241),1,1)+1</f>
        <v/>
      </c>
      <c r="C241" s="17">
        <f>(원데이터!B241+원데이터!C241)/2</f>
        <v/>
      </c>
      <c r="D241" s="12">
        <f>0.6108*EXP(17.27*원데이터!B241/(원데이터!B241+237.3))</f>
        <v/>
      </c>
      <c r="E241" s="12">
        <f>0.6108*EXP(17.27*원데이터!C241/(원데이터!C241+237.3))</f>
        <v/>
      </c>
      <c r="F241" s="12">
        <f>(D241+E241)/2</f>
        <v/>
      </c>
      <c r="G241" s="12">
        <f>IF(원데이터!H241&lt;&gt;"",원데이터!H241/10,IF(원데이터!I241&lt;&gt;"",0.6108*EXP(17.27*원데이터!I241/(원데이터!I241+237.3)),원데이터!E241/100*F241))</f>
        <v/>
      </c>
      <c r="H241" s="21">
        <f>4098*(0.6108*EXP(17.27*C241/(C241+237.3)))/(C241+237.3)^2</f>
        <v/>
      </c>
      <c r="I241" s="17">
        <f>IF(원데이터!J241&lt;&gt;"",원데이터!J241/10,101.3*((293-0.0065*설정!$B$3)/293)^5.26)</f>
        <v/>
      </c>
      <c r="J241" s="21">
        <f>0.000665*I241</f>
        <v/>
      </c>
      <c r="K241" s="18">
        <f>원데이터!G241*4.87/LN(67.8*설정!$B$4-5.42)</f>
        <v/>
      </c>
      <c r="L241" s="12">
        <f>1+0.033*COS(2*PI()*B241/365)</f>
        <v/>
      </c>
      <c r="M241" s="21">
        <f>0.409*SIN(2*PI()*B241/365-1.39)</f>
        <v/>
      </c>
      <c r="N241" s="21">
        <f>ACOS(-TAN(RADIANS(설정!$B$2))*TAN(M241))</f>
        <v/>
      </c>
      <c r="O241" s="18">
        <f>(24*60/PI())*0.082*L241*(N241*SIN(RADIANS(설정!$B$2))*SIN(M241)+COS(RADIANS(설정!$B$2))*COS(M241)*SIN(N241))</f>
        <v/>
      </c>
      <c r="P241" s="18">
        <f>(0.75+0.00002*설정!$B$3)*O241</f>
        <v/>
      </c>
      <c r="Q241" s="18">
        <f>IF(원데이터!K241&lt;&gt;"",원데이터!K241,(0.25+0.5*원데이터!L241/(24/PI()*N241))*O241)</f>
        <v/>
      </c>
      <c r="R241" s="18">
        <f>0.77*Q241</f>
        <v/>
      </c>
      <c r="S241" s="18">
        <f>0.000000004903*(((원데이터!B241+273.16)^4+(원데이터!C241+273.16)^4)/2)*(0.34-0.14*SQRT(G241))*(1.35*MIN(Q241/P241,1)-0.35)</f>
        <v/>
      </c>
      <c r="T241" s="18">
        <f>R241-S241</f>
        <v/>
      </c>
      <c r="U241" s="18">
        <f>(0.408*H241*T241+J241*(900/(C241+273))*K241*(F241-G241))/(H241+J241*(1+0.34*K241))</f>
        <v/>
      </c>
      <c r="V241" s="11">
        <f>IF(원데이터!A241-설정!$B$16&lt;0,"발아전",IF(원데이터!A241-설정!$B$16&lt;설정!$B$17,"초기",IF(원데이터!A241-설정!$B$16&lt;설정!$B$17+설정!$B$18,"발육",IF(원데이터!A241-설정!$B$16&lt;설정!$B$17+설정!$B$18+설정!$B$19,"중기",IF(원데이터!A241-설정!$B$16&lt;설정!$B$17+설정!$B$18+설정!$B$19+설정!$B$20,"후기","후기이후")))))</f>
        <v/>
      </c>
      <c r="W241" s="12">
        <f>IF(원데이터!A241-설정!$B$16&lt;0,0,IF(원데이터!A241-설정!$B$16&lt;설정!$B$17,설정!$B$33,IF(원데이터!A241-설정!$B$16&lt;설정!$B$17+설정!$B$18,설정!$B$33+(설정!$B$34-설정!$B$33)*(원데이터!A241-설정!$B$16-설정!$B$17+1)/설정!$B$18,IF(원데이터!A241-설정!$B$16&lt;설정!$B$17+설정!$B$18+설정!$B$19,설정!$B$34,IF(원데이터!A241-설정!$B$16&lt;설정!$B$17+설정!$B$18+설정!$B$19+설정!$B$20,설정!$B$34+(설정!$B$35-설정!$B$34)*(원데이터!A241-설정!$B$16-설정!$B$17-설정!$B$18-설정!$B$19+1)/설정!$B$20,0)))))</f>
        <v/>
      </c>
      <c r="X241" s="12">
        <f>0.108-0.0286*K241+0.0422*LN(설정!$B$5)+0.1434*LN(원데이터!E241)-0.000631*LN(설정!$B$5)^2*LN(원데이터!E241)</f>
        <v/>
      </c>
      <c r="Y241" s="17">
        <f>원데이터!M241</f>
        <v/>
      </c>
      <c r="Z241" s="18">
        <f>X241*Y241</f>
        <v/>
      </c>
      <c r="AA241" s="18">
        <f>U241*W241</f>
        <v/>
      </c>
      <c r="AB241" s="18">
        <f>Z241*W241</f>
        <v/>
      </c>
    </row>
    <row r="242">
      <c r="A242" s="15">
        <f>원데이터!A242</f>
        <v/>
      </c>
      <c r="B242" s="14">
        <f>원데이터!A242-DATE(YEAR(원데이터!A242),1,1)+1</f>
        <v/>
      </c>
      <c r="C242" s="17">
        <f>(원데이터!B242+원데이터!C242)/2</f>
        <v/>
      </c>
      <c r="D242" s="12">
        <f>0.6108*EXP(17.27*원데이터!B242/(원데이터!B242+237.3))</f>
        <v/>
      </c>
      <c r="E242" s="12">
        <f>0.6108*EXP(17.27*원데이터!C242/(원데이터!C242+237.3))</f>
        <v/>
      </c>
      <c r="F242" s="12">
        <f>(D242+E242)/2</f>
        <v/>
      </c>
      <c r="G242" s="12">
        <f>IF(원데이터!H242&lt;&gt;"",원데이터!H242/10,IF(원데이터!I242&lt;&gt;"",0.6108*EXP(17.27*원데이터!I242/(원데이터!I242+237.3)),원데이터!E242/100*F242))</f>
        <v/>
      </c>
      <c r="H242" s="21">
        <f>4098*(0.6108*EXP(17.27*C242/(C242+237.3)))/(C242+237.3)^2</f>
        <v/>
      </c>
      <c r="I242" s="17">
        <f>IF(원데이터!J242&lt;&gt;"",원데이터!J242/10,101.3*((293-0.0065*설정!$B$3)/293)^5.26)</f>
        <v/>
      </c>
      <c r="J242" s="21">
        <f>0.000665*I242</f>
        <v/>
      </c>
      <c r="K242" s="18">
        <f>원데이터!G242*4.87/LN(67.8*설정!$B$4-5.42)</f>
        <v/>
      </c>
      <c r="L242" s="12">
        <f>1+0.033*COS(2*PI()*B242/365)</f>
        <v/>
      </c>
      <c r="M242" s="21">
        <f>0.409*SIN(2*PI()*B242/365-1.39)</f>
        <v/>
      </c>
      <c r="N242" s="21">
        <f>ACOS(-TAN(RADIANS(설정!$B$2))*TAN(M242))</f>
        <v/>
      </c>
      <c r="O242" s="18">
        <f>(24*60/PI())*0.082*L242*(N242*SIN(RADIANS(설정!$B$2))*SIN(M242)+COS(RADIANS(설정!$B$2))*COS(M242)*SIN(N242))</f>
        <v/>
      </c>
      <c r="P242" s="18">
        <f>(0.75+0.00002*설정!$B$3)*O242</f>
        <v/>
      </c>
      <c r="Q242" s="18">
        <f>IF(원데이터!K242&lt;&gt;"",원데이터!K242,(0.25+0.5*원데이터!L242/(24/PI()*N242))*O242)</f>
        <v/>
      </c>
      <c r="R242" s="18">
        <f>0.77*Q242</f>
        <v/>
      </c>
      <c r="S242" s="18">
        <f>0.000000004903*(((원데이터!B242+273.16)^4+(원데이터!C242+273.16)^4)/2)*(0.34-0.14*SQRT(G242))*(1.35*MIN(Q242/P242,1)-0.35)</f>
        <v/>
      </c>
      <c r="T242" s="18">
        <f>R242-S242</f>
        <v/>
      </c>
      <c r="U242" s="18">
        <f>(0.408*H242*T242+J242*(900/(C242+273))*K242*(F242-G242))/(H242+J242*(1+0.34*K242))</f>
        <v/>
      </c>
      <c r="V242" s="11">
        <f>IF(원데이터!A242-설정!$B$16&lt;0,"발아전",IF(원데이터!A242-설정!$B$16&lt;설정!$B$17,"초기",IF(원데이터!A242-설정!$B$16&lt;설정!$B$17+설정!$B$18,"발육",IF(원데이터!A242-설정!$B$16&lt;설정!$B$17+설정!$B$18+설정!$B$19,"중기",IF(원데이터!A242-설정!$B$16&lt;설정!$B$17+설정!$B$18+설정!$B$19+설정!$B$20,"후기","후기이후")))))</f>
        <v/>
      </c>
      <c r="W242" s="12">
        <f>IF(원데이터!A242-설정!$B$16&lt;0,0,IF(원데이터!A242-설정!$B$16&lt;설정!$B$17,설정!$B$33,IF(원데이터!A242-설정!$B$16&lt;설정!$B$17+설정!$B$18,설정!$B$33+(설정!$B$34-설정!$B$33)*(원데이터!A242-설정!$B$16-설정!$B$17+1)/설정!$B$18,IF(원데이터!A242-설정!$B$16&lt;설정!$B$17+설정!$B$18+설정!$B$19,설정!$B$34,IF(원데이터!A242-설정!$B$16&lt;설정!$B$17+설정!$B$18+설정!$B$19+설정!$B$20,설정!$B$34+(설정!$B$35-설정!$B$34)*(원데이터!A242-설정!$B$16-설정!$B$17-설정!$B$18-설정!$B$19+1)/설정!$B$20,0)))))</f>
        <v/>
      </c>
      <c r="X242" s="12">
        <f>0.108-0.0286*K242+0.0422*LN(설정!$B$5)+0.1434*LN(원데이터!E242)-0.000631*LN(설정!$B$5)^2*LN(원데이터!E242)</f>
        <v/>
      </c>
      <c r="Y242" s="17">
        <f>원데이터!M242</f>
        <v/>
      </c>
      <c r="Z242" s="18">
        <f>X242*Y242</f>
        <v/>
      </c>
      <c r="AA242" s="18">
        <f>U242*W242</f>
        <v/>
      </c>
      <c r="AB242" s="18">
        <f>Z242*W242</f>
        <v/>
      </c>
    </row>
    <row r="243">
      <c r="A243" s="15">
        <f>원데이터!A243</f>
        <v/>
      </c>
      <c r="B243" s="14">
        <f>원데이터!A243-DATE(YEAR(원데이터!A243),1,1)+1</f>
        <v/>
      </c>
      <c r="C243" s="17">
        <f>(원데이터!B243+원데이터!C243)/2</f>
        <v/>
      </c>
      <c r="D243" s="12">
        <f>0.6108*EXP(17.27*원데이터!B243/(원데이터!B243+237.3))</f>
        <v/>
      </c>
      <c r="E243" s="12">
        <f>0.6108*EXP(17.27*원데이터!C243/(원데이터!C243+237.3))</f>
        <v/>
      </c>
      <c r="F243" s="12">
        <f>(D243+E243)/2</f>
        <v/>
      </c>
      <c r="G243" s="12">
        <f>IF(원데이터!H243&lt;&gt;"",원데이터!H243/10,IF(원데이터!I243&lt;&gt;"",0.6108*EXP(17.27*원데이터!I243/(원데이터!I243+237.3)),원데이터!E243/100*F243))</f>
        <v/>
      </c>
      <c r="H243" s="21">
        <f>4098*(0.6108*EXP(17.27*C243/(C243+237.3)))/(C243+237.3)^2</f>
        <v/>
      </c>
      <c r="I243" s="17">
        <f>IF(원데이터!J243&lt;&gt;"",원데이터!J243/10,101.3*((293-0.0065*설정!$B$3)/293)^5.26)</f>
        <v/>
      </c>
      <c r="J243" s="21">
        <f>0.000665*I243</f>
        <v/>
      </c>
      <c r="K243" s="18">
        <f>원데이터!G243*4.87/LN(67.8*설정!$B$4-5.42)</f>
        <v/>
      </c>
      <c r="L243" s="12">
        <f>1+0.033*COS(2*PI()*B243/365)</f>
        <v/>
      </c>
      <c r="M243" s="21">
        <f>0.409*SIN(2*PI()*B243/365-1.39)</f>
        <v/>
      </c>
      <c r="N243" s="21">
        <f>ACOS(-TAN(RADIANS(설정!$B$2))*TAN(M243))</f>
        <v/>
      </c>
      <c r="O243" s="18">
        <f>(24*60/PI())*0.082*L243*(N243*SIN(RADIANS(설정!$B$2))*SIN(M243)+COS(RADIANS(설정!$B$2))*COS(M243)*SIN(N243))</f>
        <v/>
      </c>
      <c r="P243" s="18">
        <f>(0.75+0.00002*설정!$B$3)*O243</f>
        <v/>
      </c>
      <c r="Q243" s="18">
        <f>IF(원데이터!K243&lt;&gt;"",원데이터!K243,(0.25+0.5*원데이터!L243/(24/PI()*N243))*O243)</f>
        <v/>
      </c>
      <c r="R243" s="18">
        <f>0.77*Q243</f>
        <v/>
      </c>
      <c r="S243" s="18">
        <f>0.000000004903*(((원데이터!B243+273.16)^4+(원데이터!C243+273.16)^4)/2)*(0.34-0.14*SQRT(G243))*(1.35*MIN(Q243/P243,1)-0.35)</f>
        <v/>
      </c>
      <c r="T243" s="18">
        <f>R243-S243</f>
        <v/>
      </c>
      <c r="U243" s="18">
        <f>(0.408*H243*T243+J243*(900/(C243+273))*K243*(F243-G243))/(H243+J243*(1+0.34*K243))</f>
        <v/>
      </c>
      <c r="V243" s="11">
        <f>IF(원데이터!A243-설정!$B$16&lt;0,"발아전",IF(원데이터!A243-설정!$B$16&lt;설정!$B$17,"초기",IF(원데이터!A243-설정!$B$16&lt;설정!$B$17+설정!$B$18,"발육",IF(원데이터!A243-설정!$B$16&lt;설정!$B$17+설정!$B$18+설정!$B$19,"중기",IF(원데이터!A243-설정!$B$16&lt;설정!$B$17+설정!$B$18+설정!$B$19+설정!$B$20,"후기","후기이후")))))</f>
        <v/>
      </c>
      <c r="W243" s="12">
        <f>IF(원데이터!A243-설정!$B$16&lt;0,0,IF(원데이터!A243-설정!$B$16&lt;설정!$B$17,설정!$B$33,IF(원데이터!A243-설정!$B$16&lt;설정!$B$17+설정!$B$18,설정!$B$33+(설정!$B$34-설정!$B$33)*(원데이터!A243-설정!$B$16-설정!$B$17+1)/설정!$B$18,IF(원데이터!A243-설정!$B$16&lt;설정!$B$17+설정!$B$18+설정!$B$19,설정!$B$34,IF(원데이터!A243-설정!$B$16&lt;설정!$B$17+설정!$B$18+설정!$B$19+설정!$B$20,설정!$B$34+(설정!$B$35-설정!$B$34)*(원데이터!A243-설정!$B$16-설정!$B$17-설정!$B$18-설정!$B$19+1)/설정!$B$20,0)))))</f>
        <v/>
      </c>
      <c r="X243" s="12">
        <f>0.108-0.0286*K243+0.0422*LN(설정!$B$5)+0.1434*LN(원데이터!E243)-0.000631*LN(설정!$B$5)^2*LN(원데이터!E243)</f>
        <v/>
      </c>
      <c r="Y243" s="17">
        <f>원데이터!M243</f>
        <v/>
      </c>
      <c r="Z243" s="18">
        <f>X243*Y243</f>
        <v/>
      </c>
      <c r="AA243" s="18">
        <f>U243*W243</f>
        <v/>
      </c>
      <c r="AB243" s="18">
        <f>Z243*W243</f>
        <v/>
      </c>
    </row>
    <row r="244">
      <c r="A244" s="15">
        <f>원데이터!A244</f>
        <v/>
      </c>
      <c r="B244" s="14">
        <f>원데이터!A244-DATE(YEAR(원데이터!A244),1,1)+1</f>
        <v/>
      </c>
      <c r="C244" s="17">
        <f>(원데이터!B244+원데이터!C244)/2</f>
        <v/>
      </c>
      <c r="D244" s="12">
        <f>0.6108*EXP(17.27*원데이터!B244/(원데이터!B244+237.3))</f>
        <v/>
      </c>
      <c r="E244" s="12">
        <f>0.6108*EXP(17.27*원데이터!C244/(원데이터!C244+237.3))</f>
        <v/>
      </c>
      <c r="F244" s="12">
        <f>(D244+E244)/2</f>
        <v/>
      </c>
      <c r="G244" s="12">
        <f>IF(원데이터!H244&lt;&gt;"",원데이터!H244/10,IF(원데이터!I244&lt;&gt;"",0.6108*EXP(17.27*원데이터!I244/(원데이터!I244+237.3)),원데이터!E244/100*F244))</f>
        <v/>
      </c>
      <c r="H244" s="21">
        <f>4098*(0.6108*EXP(17.27*C244/(C244+237.3)))/(C244+237.3)^2</f>
        <v/>
      </c>
      <c r="I244" s="17">
        <f>IF(원데이터!J244&lt;&gt;"",원데이터!J244/10,101.3*((293-0.0065*설정!$B$3)/293)^5.26)</f>
        <v/>
      </c>
      <c r="J244" s="21">
        <f>0.000665*I244</f>
        <v/>
      </c>
      <c r="K244" s="18">
        <f>원데이터!G244*4.87/LN(67.8*설정!$B$4-5.42)</f>
        <v/>
      </c>
      <c r="L244" s="12">
        <f>1+0.033*COS(2*PI()*B244/365)</f>
        <v/>
      </c>
      <c r="M244" s="21">
        <f>0.409*SIN(2*PI()*B244/365-1.39)</f>
        <v/>
      </c>
      <c r="N244" s="21">
        <f>ACOS(-TAN(RADIANS(설정!$B$2))*TAN(M244))</f>
        <v/>
      </c>
      <c r="O244" s="18">
        <f>(24*60/PI())*0.082*L244*(N244*SIN(RADIANS(설정!$B$2))*SIN(M244)+COS(RADIANS(설정!$B$2))*COS(M244)*SIN(N244))</f>
        <v/>
      </c>
      <c r="P244" s="18">
        <f>(0.75+0.00002*설정!$B$3)*O244</f>
        <v/>
      </c>
      <c r="Q244" s="18">
        <f>IF(원데이터!K244&lt;&gt;"",원데이터!K244,(0.25+0.5*원데이터!L244/(24/PI()*N244))*O244)</f>
        <v/>
      </c>
      <c r="R244" s="18">
        <f>0.77*Q244</f>
        <v/>
      </c>
      <c r="S244" s="18">
        <f>0.000000004903*(((원데이터!B244+273.16)^4+(원데이터!C244+273.16)^4)/2)*(0.34-0.14*SQRT(G244))*(1.35*MIN(Q244/P244,1)-0.35)</f>
        <v/>
      </c>
      <c r="T244" s="18">
        <f>R244-S244</f>
        <v/>
      </c>
      <c r="U244" s="18">
        <f>(0.408*H244*T244+J244*(900/(C244+273))*K244*(F244-G244))/(H244+J244*(1+0.34*K244))</f>
        <v/>
      </c>
      <c r="V244" s="11">
        <f>IF(원데이터!A244-설정!$B$16&lt;0,"발아전",IF(원데이터!A244-설정!$B$16&lt;설정!$B$17,"초기",IF(원데이터!A244-설정!$B$16&lt;설정!$B$17+설정!$B$18,"발육",IF(원데이터!A244-설정!$B$16&lt;설정!$B$17+설정!$B$18+설정!$B$19,"중기",IF(원데이터!A244-설정!$B$16&lt;설정!$B$17+설정!$B$18+설정!$B$19+설정!$B$20,"후기","후기이후")))))</f>
        <v/>
      </c>
      <c r="W244" s="12">
        <f>IF(원데이터!A244-설정!$B$16&lt;0,0,IF(원데이터!A244-설정!$B$16&lt;설정!$B$17,설정!$B$33,IF(원데이터!A244-설정!$B$16&lt;설정!$B$17+설정!$B$18,설정!$B$33+(설정!$B$34-설정!$B$33)*(원데이터!A244-설정!$B$16-설정!$B$17+1)/설정!$B$18,IF(원데이터!A244-설정!$B$16&lt;설정!$B$17+설정!$B$18+설정!$B$19,설정!$B$34,IF(원데이터!A244-설정!$B$16&lt;설정!$B$17+설정!$B$18+설정!$B$19+설정!$B$20,설정!$B$34+(설정!$B$35-설정!$B$34)*(원데이터!A244-설정!$B$16-설정!$B$17-설정!$B$18-설정!$B$19+1)/설정!$B$20,0)))))</f>
        <v/>
      </c>
      <c r="X244" s="12">
        <f>0.108-0.0286*K244+0.0422*LN(설정!$B$5)+0.1434*LN(원데이터!E244)-0.000631*LN(설정!$B$5)^2*LN(원데이터!E244)</f>
        <v/>
      </c>
      <c r="Y244" s="17">
        <f>원데이터!M244</f>
        <v/>
      </c>
      <c r="Z244" s="18">
        <f>X244*Y244</f>
        <v/>
      </c>
      <c r="AA244" s="18">
        <f>U244*W244</f>
        <v/>
      </c>
      <c r="AB244" s="18">
        <f>Z244*W244</f>
        <v/>
      </c>
    </row>
    <row r="245">
      <c r="A245" s="15">
        <f>원데이터!A245</f>
        <v/>
      </c>
      <c r="B245" s="14">
        <f>원데이터!A245-DATE(YEAR(원데이터!A245),1,1)+1</f>
        <v/>
      </c>
      <c r="C245" s="17">
        <f>(원데이터!B245+원데이터!C245)/2</f>
        <v/>
      </c>
      <c r="D245" s="12">
        <f>0.6108*EXP(17.27*원데이터!B245/(원데이터!B245+237.3))</f>
        <v/>
      </c>
      <c r="E245" s="12">
        <f>0.6108*EXP(17.27*원데이터!C245/(원데이터!C245+237.3))</f>
        <v/>
      </c>
      <c r="F245" s="12">
        <f>(D245+E245)/2</f>
        <v/>
      </c>
      <c r="G245" s="12">
        <f>IF(원데이터!H245&lt;&gt;"",원데이터!H245/10,IF(원데이터!I245&lt;&gt;"",0.6108*EXP(17.27*원데이터!I245/(원데이터!I245+237.3)),원데이터!E245/100*F245))</f>
        <v/>
      </c>
      <c r="H245" s="21">
        <f>4098*(0.6108*EXP(17.27*C245/(C245+237.3)))/(C245+237.3)^2</f>
        <v/>
      </c>
      <c r="I245" s="17">
        <f>IF(원데이터!J245&lt;&gt;"",원데이터!J245/10,101.3*((293-0.0065*설정!$B$3)/293)^5.26)</f>
        <v/>
      </c>
      <c r="J245" s="21">
        <f>0.000665*I245</f>
        <v/>
      </c>
      <c r="K245" s="18">
        <f>원데이터!G245*4.87/LN(67.8*설정!$B$4-5.42)</f>
        <v/>
      </c>
      <c r="L245" s="12">
        <f>1+0.033*COS(2*PI()*B245/365)</f>
        <v/>
      </c>
      <c r="M245" s="21">
        <f>0.409*SIN(2*PI()*B245/365-1.39)</f>
        <v/>
      </c>
      <c r="N245" s="21">
        <f>ACOS(-TAN(RADIANS(설정!$B$2))*TAN(M245))</f>
        <v/>
      </c>
      <c r="O245" s="18">
        <f>(24*60/PI())*0.082*L245*(N245*SIN(RADIANS(설정!$B$2))*SIN(M245)+COS(RADIANS(설정!$B$2))*COS(M245)*SIN(N245))</f>
        <v/>
      </c>
      <c r="P245" s="18">
        <f>(0.75+0.00002*설정!$B$3)*O245</f>
        <v/>
      </c>
      <c r="Q245" s="18">
        <f>IF(원데이터!K245&lt;&gt;"",원데이터!K245,(0.25+0.5*원데이터!L245/(24/PI()*N245))*O245)</f>
        <v/>
      </c>
      <c r="R245" s="18">
        <f>0.77*Q245</f>
        <v/>
      </c>
      <c r="S245" s="18">
        <f>0.000000004903*(((원데이터!B245+273.16)^4+(원데이터!C245+273.16)^4)/2)*(0.34-0.14*SQRT(G245))*(1.35*MIN(Q245/P245,1)-0.35)</f>
        <v/>
      </c>
      <c r="T245" s="18">
        <f>R245-S245</f>
        <v/>
      </c>
      <c r="U245" s="18">
        <f>(0.408*H245*T245+J245*(900/(C245+273))*K245*(F245-G245))/(H245+J245*(1+0.34*K245))</f>
        <v/>
      </c>
      <c r="V245" s="11">
        <f>IF(원데이터!A245-설정!$B$16&lt;0,"발아전",IF(원데이터!A245-설정!$B$16&lt;설정!$B$17,"초기",IF(원데이터!A245-설정!$B$16&lt;설정!$B$17+설정!$B$18,"발육",IF(원데이터!A245-설정!$B$16&lt;설정!$B$17+설정!$B$18+설정!$B$19,"중기",IF(원데이터!A245-설정!$B$16&lt;설정!$B$17+설정!$B$18+설정!$B$19+설정!$B$20,"후기","후기이후")))))</f>
        <v/>
      </c>
      <c r="W245" s="12">
        <f>IF(원데이터!A245-설정!$B$16&lt;0,0,IF(원데이터!A245-설정!$B$16&lt;설정!$B$17,설정!$B$33,IF(원데이터!A245-설정!$B$16&lt;설정!$B$17+설정!$B$18,설정!$B$33+(설정!$B$34-설정!$B$33)*(원데이터!A245-설정!$B$16-설정!$B$17+1)/설정!$B$18,IF(원데이터!A245-설정!$B$16&lt;설정!$B$17+설정!$B$18+설정!$B$19,설정!$B$34,IF(원데이터!A245-설정!$B$16&lt;설정!$B$17+설정!$B$18+설정!$B$19+설정!$B$20,설정!$B$34+(설정!$B$35-설정!$B$34)*(원데이터!A245-설정!$B$16-설정!$B$17-설정!$B$18-설정!$B$19+1)/설정!$B$20,0)))))</f>
        <v/>
      </c>
      <c r="X245" s="12">
        <f>0.108-0.0286*K245+0.0422*LN(설정!$B$5)+0.1434*LN(원데이터!E245)-0.000631*LN(설정!$B$5)^2*LN(원데이터!E245)</f>
        <v/>
      </c>
      <c r="Y245" s="17">
        <f>원데이터!M245</f>
        <v/>
      </c>
      <c r="Z245" s="18">
        <f>X245*Y245</f>
        <v/>
      </c>
      <c r="AA245" s="18">
        <f>U245*W245</f>
        <v/>
      </c>
      <c r="AB245" s="18">
        <f>Z245*W245</f>
        <v/>
      </c>
    </row>
    <row r="246">
      <c r="A246" s="15">
        <f>원데이터!A246</f>
        <v/>
      </c>
      <c r="B246" s="14">
        <f>원데이터!A246-DATE(YEAR(원데이터!A246),1,1)+1</f>
        <v/>
      </c>
      <c r="C246" s="17">
        <f>(원데이터!B246+원데이터!C246)/2</f>
        <v/>
      </c>
      <c r="D246" s="12">
        <f>0.6108*EXP(17.27*원데이터!B246/(원데이터!B246+237.3))</f>
        <v/>
      </c>
      <c r="E246" s="12">
        <f>0.6108*EXP(17.27*원데이터!C246/(원데이터!C246+237.3))</f>
        <v/>
      </c>
      <c r="F246" s="12">
        <f>(D246+E246)/2</f>
        <v/>
      </c>
      <c r="G246" s="12">
        <f>IF(원데이터!H246&lt;&gt;"",원데이터!H246/10,IF(원데이터!I246&lt;&gt;"",0.6108*EXP(17.27*원데이터!I246/(원데이터!I246+237.3)),원데이터!E246/100*F246))</f>
        <v/>
      </c>
      <c r="H246" s="21">
        <f>4098*(0.6108*EXP(17.27*C246/(C246+237.3)))/(C246+237.3)^2</f>
        <v/>
      </c>
      <c r="I246" s="17">
        <f>IF(원데이터!J246&lt;&gt;"",원데이터!J246/10,101.3*((293-0.0065*설정!$B$3)/293)^5.26)</f>
        <v/>
      </c>
      <c r="J246" s="21">
        <f>0.000665*I246</f>
        <v/>
      </c>
      <c r="K246" s="18">
        <f>원데이터!G246*4.87/LN(67.8*설정!$B$4-5.42)</f>
        <v/>
      </c>
      <c r="L246" s="12">
        <f>1+0.033*COS(2*PI()*B246/365)</f>
        <v/>
      </c>
      <c r="M246" s="21">
        <f>0.409*SIN(2*PI()*B246/365-1.39)</f>
        <v/>
      </c>
      <c r="N246" s="21">
        <f>ACOS(-TAN(RADIANS(설정!$B$2))*TAN(M246))</f>
        <v/>
      </c>
      <c r="O246" s="18">
        <f>(24*60/PI())*0.082*L246*(N246*SIN(RADIANS(설정!$B$2))*SIN(M246)+COS(RADIANS(설정!$B$2))*COS(M246)*SIN(N246))</f>
        <v/>
      </c>
      <c r="P246" s="18">
        <f>(0.75+0.00002*설정!$B$3)*O246</f>
        <v/>
      </c>
      <c r="Q246" s="18">
        <f>IF(원데이터!K246&lt;&gt;"",원데이터!K246,(0.25+0.5*원데이터!L246/(24/PI()*N246))*O246)</f>
        <v/>
      </c>
      <c r="R246" s="18">
        <f>0.77*Q246</f>
        <v/>
      </c>
      <c r="S246" s="18">
        <f>0.000000004903*(((원데이터!B246+273.16)^4+(원데이터!C246+273.16)^4)/2)*(0.34-0.14*SQRT(G246))*(1.35*MIN(Q246/P246,1)-0.35)</f>
        <v/>
      </c>
      <c r="T246" s="18">
        <f>R246-S246</f>
        <v/>
      </c>
      <c r="U246" s="18">
        <f>(0.408*H246*T246+J246*(900/(C246+273))*K246*(F246-G246))/(H246+J246*(1+0.34*K246))</f>
        <v/>
      </c>
      <c r="V246" s="11">
        <f>IF(원데이터!A246-설정!$B$16&lt;0,"발아전",IF(원데이터!A246-설정!$B$16&lt;설정!$B$17,"초기",IF(원데이터!A246-설정!$B$16&lt;설정!$B$17+설정!$B$18,"발육",IF(원데이터!A246-설정!$B$16&lt;설정!$B$17+설정!$B$18+설정!$B$19,"중기",IF(원데이터!A246-설정!$B$16&lt;설정!$B$17+설정!$B$18+설정!$B$19+설정!$B$20,"후기","후기이후")))))</f>
        <v/>
      </c>
      <c r="W246" s="12">
        <f>IF(원데이터!A246-설정!$B$16&lt;0,0,IF(원데이터!A246-설정!$B$16&lt;설정!$B$17,설정!$B$33,IF(원데이터!A246-설정!$B$16&lt;설정!$B$17+설정!$B$18,설정!$B$33+(설정!$B$34-설정!$B$33)*(원데이터!A246-설정!$B$16-설정!$B$17+1)/설정!$B$18,IF(원데이터!A246-설정!$B$16&lt;설정!$B$17+설정!$B$18+설정!$B$19,설정!$B$34,IF(원데이터!A246-설정!$B$16&lt;설정!$B$17+설정!$B$18+설정!$B$19+설정!$B$20,설정!$B$34+(설정!$B$35-설정!$B$34)*(원데이터!A246-설정!$B$16-설정!$B$17-설정!$B$18-설정!$B$19+1)/설정!$B$20,0)))))</f>
        <v/>
      </c>
      <c r="X246" s="12">
        <f>0.108-0.0286*K246+0.0422*LN(설정!$B$5)+0.1434*LN(원데이터!E246)-0.000631*LN(설정!$B$5)^2*LN(원데이터!E246)</f>
        <v/>
      </c>
      <c r="Y246" s="17">
        <f>원데이터!M246</f>
        <v/>
      </c>
      <c r="Z246" s="18">
        <f>X246*Y246</f>
        <v/>
      </c>
      <c r="AA246" s="18">
        <f>U246*W246</f>
        <v/>
      </c>
      <c r="AB246" s="18">
        <f>Z246*W246</f>
        <v/>
      </c>
    </row>
    <row r="247">
      <c r="A247" s="15">
        <f>원데이터!A247</f>
        <v/>
      </c>
      <c r="B247" s="14">
        <f>원데이터!A247-DATE(YEAR(원데이터!A247),1,1)+1</f>
        <v/>
      </c>
      <c r="C247" s="17">
        <f>(원데이터!B247+원데이터!C247)/2</f>
        <v/>
      </c>
      <c r="D247" s="12">
        <f>0.6108*EXP(17.27*원데이터!B247/(원데이터!B247+237.3))</f>
        <v/>
      </c>
      <c r="E247" s="12">
        <f>0.6108*EXP(17.27*원데이터!C247/(원데이터!C247+237.3))</f>
        <v/>
      </c>
      <c r="F247" s="12">
        <f>(D247+E247)/2</f>
        <v/>
      </c>
      <c r="G247" s="12">
        <f>IF(원데이터!H247&lt;&gt;"",원데이터!H247/10,IF(원데이터!I247&lt;&gt;"",0.6108*EXP(17.27*원데이터!I247/(원데이터!I247+237.3)),원데이터!E247/100*F247))</f>
        <v/>
      </c>
      <c r="H247" s="21">
        <f>4098*(0.6108*EXP(17.27*C247/(C247+237.3)))/(C247+237.3)^2</f>
        <v/>
      </c>
      <c r="I247" s="17">
        <f>IF(원데이터!J247&lt;&gt;"",원데이터!J247/10,101.3*((293-0.0065*설정!$B$3)/293)^5.26)</f>
        <v/>
      </c>
      <c r="J247" s="21">
        <f>0.000665*I247</f>
        <v/>
      </c>
      <c r="K247" s="18">
        <f>원데이터!G247*4.87/LN(67.8*설정!$B$4-5.42)</f>
        <v/>
      </c>
      <c r="L247" s="12">
        <f>1+0.033*COS(2*PI()*B247/365)</f>
        <v/>
      </c>
      <c r="M247" s="21">
        <f>0.409*SIN(2*PI()*B247/365-1.39)</f>
        <v/>
      </c>
      <c r="N247" s="21">
        <f>ACOS(-TAN(RADIANS(설정!$B$2))*TAN(M247))</f>
        <v/>
      </c>
      <c r="O247" s="18">
        <f>(24*60/PI())*0.082*L247*(N247*SIN(RADIANS(설정!$B$2))*SIN(M247)+COS(RADIANS(설정!$B$2))*COS(M247)*SIN(N247))</f>
        <v/>
      </c>
      <c r="P247" s="18">
        <f>(0.75+0.00002*설정!$B$3)*O247</f>
        <v/>
      </c>
      <c r="Q247" s="18">
        <f>IF(원데이터!K247&lt;&gt;"",원데이터!K247,(0.25+0.5*원데이터!L247/(24/PI()*N247))*O247)</f>
        <v/>
      </c>
      <c r="R247" s="18">
        <f>0.77*Q247</f>
        <v/>
      </c>
      <c r="S247" s="18">
        <f>0.000000004903*(((원데이터!B247+273.16)^4+(원데이터!C247+273.16)^4)/2)*(0.34-0.14*SQRT(G247))*(1.35*MIN(Q247/P247,1)-0.35)</f>
        <v/>
      </c>
      <c r="T247" s="18">
        <f>R247-S247</f>
        <v/>
      </c>
      <c r="U247" s="18">
        <f>(0.408*H247*T247+J247*(900/(C247+273))*K247*(F247-G247))/(H247+J247*(1+0.34*K247))</f>
        <v/>
      </c>
      <c r="V247" s="11">
        <f>IF(원데이터!A247-설정!$B$16&lt;0,"발아전",IF(원데이터!A247-설정!$B$16&lt;설정!$B$17,"초기",IF(원데이터!A247-설정!$B$16&lt;설정!$B$17+설정!$B$18,"발육",IF(원데이터!A247-설정!$B$16&lt;설정!$B$17+설정!$B$18+설정!$B$19,"중기",IF(원데이터!A247-설정!$B$16&lt;설정!$B$17+설정!$B$18+설정!$B$19+설정!$B$20,"후기","후기이후")))))</f>
        <v/>
      </c>
      <c r="W247" s="12">
        <f>IF(원데이터!A247-설정!$B$16&lt;0,0,IF(원데이터!A247-설정!$B$16&lt;설정!$B$17,설정!$B$33,IF(원데이터!A247-설정!$B$16&lt;설정!$B$17+설정!$B$18,설정!$B$33+(설정!$B$34-설정!$B$33)*(원데이터!A247-설정!$B$16-설정!$B$17+1)/설정!$B$18,IF(원데이터!A247-설정!$B$16&lt;설정!$B$17+설정!$B$18+설정!$B$19,설정!$B$34,IF(원데이터!A247-설정!$B$16&lt;설정!$B$17+설정!$B$18+설정!$B$19+설정!$B$20,설정!$B$34+(설정!$B$35-설정!$B$34)*(원데이터!A247-설정!$B$16-설정!$B$17-설정!$B$18-설정!$B$19+1)/설정!$B$20,0)))))</f>
        <v/>
      </c>
      <c r="X247" s="12">
        <f>0.108-0.0286*K247+0.0422*LN(설정!$B$5)+0.1434*LN(원데이터!E247)-0.000631*LN(설정!$B$5)^2*LN(원데이터!E247)</f>
        <v/>
      </c>
      <c r="Y247" s="17">
        <f>원데이터!M247</f>
        <v/>
      </c>
      <c r="Z247" s="18">
        <f>X247*Y247</f>
        <v/>
      </c>
      <c r="AA247" s="18">
        <f>U247*W247</f>
        <v/>
      </c>
      <c r="AB247" s="18">
        <f>Z247*W247</f>
        <v/>
      </c>
    </row>
    <row r="248">
      <c r="A248" s="15">
        <f>원데이터!A248</f>
        <v/>
      </c>
      <c r="B248" s="14">
        <f>원데이터!A248-DATE(YEAR(원데이터!A248),1,1)+1</f>
        <v/>
      </c>
      <c r="C248" s="17">
        <f>(원데이터!B248+원데이터!C248)/2</f>
        <v/>
      </c>
      <c r="D248" s="12">
        <f>0.6108*EXP(17.27*원데이터!B248/(원데이터!B248+237.3))</f>
        <v/>
      </c>
      <c r="E248" s="12">
        <f>0.6108*EXP(17.27*원데이터!C248/(원데이터!C248+237.3))</f>
        <v/>
      </c>
      <c r="F248" s="12">
        <f>(D248+E248)/2</f>
        <v/>
      </c>
      <c r="G248" s="12">
        <f>IF(원데이터!H248&lt;&gt;"",원데이터!H248/10,IF(원데이터!I248&lt;&gt;"",0.6108*EXP(17.27*원데이터!I248/(원데이터!I248+237.3)),원데이터!E248/100*F248))</f>
        <v/>
      </c>
      <c r="H248" s="21">
        <f>4098*(0.6108*EXP(17.27*C248/(C248+237.3)))/(C248+237.3)^2</f>
        <v/>
      </c>
      <c r="I248" s="17">
        <f>IF(원데이터!J248&lt;&gt;"",원데이터!J248/10,101.3*((293-0.0065*설정!$B$3)/293)^5.26)</f>
        <v/>
      </c>
      <c r="J248" s="21">
        <f>0.000665*I248</f>
        <v/>
      </c>
      <c r="K248" s="18">
        <f>원데이터!G248*4.87/LN(67.8*설정!$B$4-5.42)</f>
        <v/>
      </c>
      <c r="L248" s="12">
        <f>1+0.033*COS(2*PI()*B248/365)</f>
        <v/>
      </c>
      <c r="M248" s="21">
        <f>0.409*SIN(2*PI()*B248/365-1.39)</f>
        <v/>
      </c>
      <c r="N248" s="21">
        <f>ACOS(-TAN(RADIANS(설정!$B$2))*TAN(M248))</f>
        <v/>
      </c>
      <c r="O248" s="18">
        <f>(24*60/PI())*0.082*L248*(N248*SIN(RADIANS(설정!$B$2))*SIN(M248)+COS(RADIANS(설정!$B$2))*COS(M248)*SIN(N248))</f>
        <v/>
      </c>
      <c r="P248" s="18">
        <f>(0.75+0.00002*설정!$B$3)*O248</f>
        <v/>
      </c>
      <c r="Q248" s="18">
        <f>IF(원데이터!K248&lt;&gt;"",원데이터!K248,(0.25+0.5*원데이터!L248/(24/PI()*N248))*O248)</f>
        <v/>
      </c>
      <c r="R248" s="18">
        <f>0.77*Q248</f>
        <v/>
      </c>
      <c r="S248" s="18">
        <f>0.000000004903*(((원데이터!B248+273.16)^4+(원데이터!C248+273.16)^4)/2)*(0.34-0.14*SQRT(G248))*(1.35*MIN(Q248/P248,1)-0.35)</f>
        <v/>
      </c>
      <c r="T248" s="18">
        <f>R248-S248</f>
        <v/>
      </c>
      <c r="U248" s="18">
        <f>(0.408*H248*T248+J248*(900/(C248+273))*K248*(F248-G248))/(H248+J248*(1+0.34*K248))</f>
        <v/>
      </c>
      <c r="V248" s="11">
        <f>IF(원데이터!A248-설정!$B$16&lt;0,"발아전",IF(원데이터!A248-설정!$B$16&lt;설정!$B$17,"초기",IF(원데이터!A248-설정!$B$16&lt;설정!$B$17+설정!$B$18,"발육",IF(원데이터!A248-설정!$B$16&lt;설정!$B$17+설정!$B$18+설정!$B$19,"중기",IF(원데이터!A248-설정!$B$16&lt;설정!$B$17+설정!$B$18+설정!$B$19+설정!$B$20,"후기","후기이후")))))</f>
        <v/>
      </c>
      <c r="W248" s="12">
        <f>IF(원데이터!A248-설정!$B$16&lt;0,0,IF(원데이터!A248-설정!$B$16&lt;설정!$B$17,설정!$B$33,IF(원데이터!A248-설정!$B$16&lt;설정!$B$17+설정!$B$18,설정!$B$33+(설정!$B$34-설정!$B$33)*(원데이터!A248-설정!$B$16-설정!$B$17+1)/설정!$B$18,IF(원데이터!A248-설정!$B$16&lt;설정!$B$17+설정!$B$18+설정!$B$19,설정!$B$34,IF(원데이터!A248-설정!$B$16&lt;설정!$B$17+설정!$B$18+설정!$B$19+설정!$B$20,설정!$B$34+(설정!$B$35-설정!$B$34)*(원데이터!A248-설정!$B$16-설정!$B$17-설정!$B$18-설정!$B$19+1)/설정!$B$20,0)))))</f>
        <v/>
      </c>
      <c r="X248" s="12">
        <f>0.108-0.0286*K248+0.0422*LN(설정!$B$5)+0.1434*LN(원데이터!E248)-0.000631*LN(설정!$B$5)^2*LN(원데이터!E248)</f>
        <v/>
      </c>
      <c r="Y248" s="17">
        <f>원데이터!M248</f>
        <v/>
      </c>
      <c r="Z248" s="18">
        <f>X248*Y248</f>
        <v/>
      </c>
      <c r="AA248" s="18">
        <f>U248*W248</f>
        <v/>
      </c>
      <c r="AB248" s="18">
        <f>Z248*W248</f>
        <v/>
      </c>
    </row>
    <row r="249">
      <c r="A249" s="15">
        <f>원데이터!A249</f>
        <v/>
      </c>
      <c r="B249" s="14">
        <f>원데이터!A249-DATE(YEAR(원데이터!A249),1,1)+1</f>
        <v/>
      </c>
      <c r="C249" s="17">
        <f>(원데이터!B249+원데이터!C249)/2</f>
        <v/>
      </c>
      <c r="D249" s="12">
        <f>0.6108*EXP(17.27*원데이터!B249/(원데이터!B249+237.3))</f>
        <v/>
      </c>
      <c r="E249" s="12">
        <f>0.6108*EXP(17.27*원데이터!C249/(원데이터!C249+237.3))</f>
        <v/>
      </c>
      <c r="F249" s="12">
        <f>(D249+E249)/2</f>
        <v/>
      </c>
      <c r="G249" s="12">
        <f>IF(원데이터!H249&lt;&gt;"",원데이터!H249/10,IF(원데이터!I249&lt;&gt;"",0.6108*EXP(17.27*원데이터!I249/(원데이터!I249+237.3)),원데이터!E249/100*F249))</f>
        <v/>
      </c>
      <c r="H249" s="21">
        <f>4098*(0.6108*EXP(17.27*C249/(C249+237.3)))/(C249+237.3)^2</f>
        <v/>
      </c>
      <c r="I249" s="17">
        <f>IF(원데이터!J249&lt;&gt;"",원데이터!J249/10,101.3*((293-0.0065*설정!$B$3)/293)^5.26)</f>
        <v/>
      </c>
      <c r="J249" s="21">
        <f>0.000665*I249</f>
        <v/>
      </c>
      <c r="K249" s="18">
        <f>원데이터!G249*4.87/LN(67.8*설정!$B$4-5.42)</f>
        <v/>
      </c>
      <c r="L249" s="12">
        <f>1+0.033*COS(2*PI()*B249/365)</f>
        <v/>
      </c>
      <c r="M249" s="21">
        <f>0.409*SIN(2*PI()*B249/365-1.39)</f>
        <v/>
      </c>
      <c r="N249" s="21">
        <f>ACOS(-TAN(RADIANS(설정!$B$2))*TAN(M249))</f>
        <v/>
      </c>
      <c r="O249" s="18">
        <f>(24*60/PI())*0.082*L249*(N249*SIN(RADIANS(설정!$B$2))*SIN(M249)+COS(RADIANS(설정!$B$2))*COS(M249)*SIN(N249))</f>
        <v/>
      </c>
      <c r="P249" s="18">
        <f>(0.75+0.00002*설정!$B$3)*O249</f>
        <v/>
      </c>
      <c r="Q249" s="18">
        <f>IF(원데이터!K249&lt;&gt;"",원데이터!K249,(0.25+0.5*원데이터!L249/(24/PI()*N249))*O249)</f>
        <v/>
      </c>
      <c r="R249" s="18">
        <f>0.77*Q249</f>
        <v/>
      </c>
      <c r="S249" s="18">
        <f>0.000000004903*(((원데이터!B249+273.16)^4+(원데이터!C249+273.16)^4)/2)*(0.34-0.14*SQRT(G249))*(1.35*MIN(Q249/P249,1)-0.35)</f>
        <v/>
      </c>
      <c r="T249" s="18">
        <f>R249-S249</f>
        <v/>
      </c>
      <c r="U249" s="18">
        <f>(0.408*H249*T249+J249*(900/(C249+273))*K249*(F249-G249))/(H249+J249*(1+0.34*K249))</f>
        <v/>
      </c>
      <c r="V249" s="11">
        <f>IF(원데이터!A249-설정!$B$16&lt;0,"발아전",IF(원데이터!A249-설정!$B$16&lt;설정!$B$17,"초기",IF(원데이터!A249-설정!$B$16&lt;설정!$B$17+설정!$B$18,"발육",IF(원데이터!A249-설정!$B$16&lt;설정!$B$17+설정!$B$18+설정!$B$19,"중기",IF(원데이터!A249-설정!$B$16&lt;설정!$B$17+설정!$B$18+설정!$B$19+설정!$B$20,"후기","후기이후")))))</f>
        <v/>
      </c>
      <c r="W249" s="12">
        <f>IF(원데이터!A249-설정!$B$16&lt;0,0,IF(원데이터!A249-설정!$B$16&lt;설정!$B$17,설정!$B$33,IF(원데이터!A249-설정!$B$16&lt;설정!$B$17+설정!$B$18,설정!$B$33+(설정!$B$34-설정!$B$33)*(원데이터!A249-설정!$B$16-설정!$B$17+1)/설정!$B$18,IF(원데이터!A249-설정!$B$16&lt;설정!$B$17+설정!$B$18+설정!$B$19,설정!$B$34,IF(원데이터!A249-설정!$B$16&lt;설정!$B$17+설정!$B$18+설정!$B$19+설정!$B$20,설정!$B$34+(설정!$B$35-설정!$B$34)*(원데이터!A249-설정!$B$16-설정!$B$17-설정!$B$18-설정!$B$19+1)/설정!$B$20,0)))))</f>
        <v/>
      </c>
      <c r="X249" s="12">
        <f>0.108-0.0286*K249+0.0422*LN(설정!$B$5)+0.1434*LN(원데이터!E249)-0.000631*LN(설정!$B$5)^2*LN(원데이터!E249)</f>
        <v/>
      </c>
      <c r="Y249" s="17">
        <f>원데이터!M249</f>
        <v/>
      </c>
      <c r="Z249" s="18">
        <f>X249*Y249</f>
        <v/>
      </c>
      <c r="AA249" s="18">
        <f>U249*W249</f>
        <v/>
      </c>
      <c r="AB249" s="18">
        <f>Z249*W249</f>
        <v/>
      </c>
    </row>
    <row r="250">
      <c r="A250" s="15">
        <f>원데이터!A250</f>
        <v/>
      </c>
      <c r="B250" s="14">
        <f>원데이터!A250-DATE(YEAR(원데이터!A250),1,1)+1</f>
        <v/>
      </c>
      <c r="C250" s="17">
        <f>(원데이터!B250+원데이터!C250)/2</f>
        <v/>
      </c>
      <c r="D250" s="12">
        <f>0.6108*EXP(17.27*원데이터!B250/(원데이터!B250+237.3))</f>
        <v/>
      </c>
      <c r="E250" s="12">
        <f>0.6108*EXP(17.27*원데이터!C250/(원데이터!C250+237.3))</f>
        <v/>
      </c>
      <c r="F250" s="12">
        <f>(D250+E250)/2</f>
        <v/>
      </c>
      <c r="G250" s="12">
        <f>IF(원데이터!H250&lt;&gt;"",원데이터!H250/10,IF(원데이터!I250&lt;&gt;"",0.6108*EXP(17.27*원데이터!I250/(원데이터!I250+237.3)),원데이터!E250/100*F250))</f>
        <v/>
      </c>
      <c r="H250" s="21">
        <f>4098*(0.6108*EXP(17.27*C250/(C250+237.3)))/(C250+237.3)^2</f>
        <v/>
      </c>
      <c r="I250" s="17">
        <f>IF(원데이터!J250&lt;&gt;"",원데이터!J250/10,101.3*((293-0.0065*설정!$B$3)/293)^5.26)</f>
        <v/>
      </c>
      <c r="J250" s="21">
        <f>0.000665*I250</f>
        <v/>
      </c>
      <c r="K250" s="18">
        <f>원데이터!G250*4.87/LN(67.8*설정!$B$4-5.42)</f>
        <v/>
      </c>
      <c r="L250" s="12">
        <f>1+0.033*COS(2*PI()*B250/365)</f>
        <v/>
      </c>
      <c r="M250" s="21">
        <f>0.409*SIN(2*PI()*B250/365-1.39)</f>
        <v/>
      </c>
      <c r="N250" s="21">
        <f>ACOS(-TAN(RADIANS(설정!$B$2))*TAN(M250))</f>
        <v/>
      </c>
      <c r="O250" s="18">
        <f>(24*60/PI())*0.082*L250*(N250*SIN(RADIANS(설정!$B$2))*SIN(M250)+COS(RADIANS(설정!$B$2))*COS(M250)*SIN(N250))</f>
        <v/>
      </c>
      <c r="P250" s="18">
        <f>(0.75+0.00002*설정!$B$3)*O250</f>
        <v/>
      </c>
      <c r="Q250" s="18">
        <f>IF(원데이터!K250&lt;&gt;"",원데이터!K250,(0.25+0.5*원데이터!L250/(24/PI()*N250))*O250)</f>
        <v/>
      </c>
      <c r="R250" s="18">
        <f>0.77*Q250</f>
        <v/>
      </c>
      <c r="S250" s="18">
        <f>0.000000004903*(((원데이터!B250+273.16)^4+(원데이터!C250+273.16)^4)/2)*(0.34-0.14*SQRT(G250))*(1.35*MIN(Q250/P250,1)-0.35)</f>
        <v/>
      </c>
      <c r="T250" s="18">
        <f>R250-S250</f>
        <v/>
      </c>
      <c r="U250" s="18">
        <f>(0.408*H250*T250+J250*(900/(C250+273))*K250*(F250-G250))/(H250+J250*(1+0.34*K250))</f>
        <v/>
      </c>
      <c r="V250" s="11">
        <f>IF(원데이터!A250-설정!$B$16&lt;0,"발아전",IF(원데이터!A250-설정!$B$16&lt;설정!$B$17,"초기",IF(원데이터!A250-설정!$B$16&lt;설정!$B$17+설정!$B$18,"발육",IF(원데이터!A250-설정!$B$16&lt;설정!$B$17+설정!$B$18+설정!$B$19,"중기",IF(원데이터!A250-설정!$B$16&lt;설정!$B$17+설정!$B$18+설정!$B$19+설정!$B$20,"후기","후기이후")))))</f>
        <v/>
      </c>
      <c r="W250" s="12">
        <f>IF(원데이터!A250-설정!$B$16&lt;0,0,IF(원데이터!A250-설정!$B$16&lt;설정!$B$17,설정!$B$33,IF(원데이터!A250-설정!$B$16&lt;설정!$B$17+설정!$B$18,설정!$B$33+(설정!$B$34-설정!$B$33)*(원데이터!A250-설정!$B$16-설정!$B$17+1)/설정!$B$18,IF(원데이터!A250-설정!$B$16&lt;설정!$B$17+설정!$B$18+설정!$B$19,설정!$B$34,IF(원데이터!A250-설정!$B$16&lt;설정!$B$17+설정!$B$18+설정!$B$19+설정!$B$20,설정!$B$34+(설정!$B$35-설정!$B$34)*(원데이터!A250-설정!$B$16-설정!$B$17-설정!$B$18-설정!$B$19+1)/설정!$B$20,0)))))</f>
        <v/>
      </c>
      <c r="X250" s="12">
        <f>0.108-0.0286*K250+0.0422*LN(설정!$B$5)+0.1434*LN(원데이터!E250)-0.000631*LN(설정!$B$5)^2*LN(원데이터!E250)</f>
        <v/>
      </c>
      <c r="Y250" s="17">
        <f>원데이터!M250</f>
        <v/>
      </c>
      <c r="Z250" s="18">
        <f>X250*Y250</f>
        <v/>
      </c>
      <c r="AA250" s="18">
        <f>U250*W250</f>
        <v/>
      </c>
      <c r="AB250" s="18">
        <f>Z250*W250</f>
        <v/>
      </c>
    </row>
    <row r="251">
      <c r="A251" s="15">
        <f>원데이터!A251</f>
        <v/>
      </c>
      <c r="B251" s="14">
        <f>원데이터!A251-DATE(YEAR(원데이터!A251),1,1)+1</f>
        <v/>
      </c>
      <c r="C251" s="17">
        <f>(원데이터!B251+원데이터!C251)/2</f>
        <v/>
      </c>
      <c r="D251" s="12">
        <f>0.6108*EXP(17.27*원데이터!B251/(원데이터!B251+237.3))</f>
        <v/>
      </c>
      <c r="E251" s="12">
        <f>0.6108*EXP(17.27*원데이터!C251/(원데이터!C251+237.3))</f>
        <v/>
      </c>
      <c r="F251" s="12">
        <f>(D251+E251)/2</f>
        <v/>
      </c>
      <c r="G251" s="12">
        <f>IF(원데이터!H251&lt;&gt;"",원데이터!H251/10,IF(원데이터!I251&lt;&gt;"",0.6108*EXP(17.27*원데이터!I251/(원데이터!I251+237.3)),원데이터!E251/100*F251))</f>
        <v/>
      </c>
      <c r="H251" s="21">
        <f>4098*(0.6108*EXP(17.27*C251/(C251+237.3)))/(C251+237.3)^2</f>
        <v/>
      </c>
      <c r="I251" s="17">
        <f>IF(원데이터!J251&lt;&gt;"",원데이터!J251/10,101.3*((293-0.0065*설정!$B$3)/293)^5.26)</f>
        <v/>
      </c>
      <c r="J251" s="21">
        <f>0.000665*I251</f>
        <v/>
      </c>
      <c r="K251" s="18">
        <f>원데이터!G251*4.87/LN(67.8*설정!$B$4-5.42)</f>
        <v/>
      </c>
      <c r="L251" s="12">
        <f>1+0.033*COS(2*PI()*B251/365)</f>
        <v/>
      </c>
      <c r="M251" s="21">
        <f>0.409*SIN(2*PI()*B251/365-1.39)</f>
        <v/>
      </c>
      <c r="N251" s="21">
        <f>ACOS(-TAN(RADIANS(설정!$B$2))*TAN(M251))</f>
        <v/>
      </c>
      <c r="O251" s="18">
        <f>(24*60/PI())*0.082*L251*(N251*SIN(RADIANS(설정!$B$2))*SIN(M251)+COS(RADIANS(설정!$B$2))*COS(M251)*SIN(N251))</f>
        <v/>
      </c>
      <c r="P251" s="18">
        <f>(0.75+0.00002*설정!$B$3)*O251</f>
        <v/>
      </c>
      <c r="Q251" s="18">
        <f>IF(원데이터!K251&lt;&gt;"",원데이터!K251,(0.25+0.5*원데이터!L251/(24/PI()*N251))*O251)</f>
        <v/>
      </c>
      <c r="R251" s="18">
        <f>0.77*Q251</f>
        <v/>
      </c>
      <c r="S251" s="18">
        <f>0.000000004903*(((원데이터!B251+273.16)^4+(원데이터!C251+273.16)^4)/2)*(0.34-0.14*SQRT(G251))*(1.35*MIN(Q251/P251,1)-0.35)</f>
        <v/>
      </c>
      <c r="T251" s="18">
        <f>R251-S251</f>
        <v/>
      </c>
      <c r="U251" s="18">
        <f>(0.408*H251*T251+J251*(900/(C251+273))*K251*(F251-G251))/(H251+J251*(1+0.34*K251))</f>
        <v/>
      </c>
      <c r="V251" s="11">
        <f>IF(원데이터!A251-설정!$B$16&lt;0,"발아전",IF(원데이터!A251-설정!$B$16&lt;설정!$B$17,"초기",IF(원데이터!A251-설정!$B$16&lt;설정!$B$17+설정!$B$18,"발육",IF(원데이터!A251-설정!$B$16&lt;설정!$B$17+설정!$B$18+설정!$B$19,"중기",IF(원데이터!A251-설정!$B$16&lt;설정!$B$17+설정!$B$18+설정!$B$19+설정!$B$20,"후기","후기이후")))))</f>
        <v/>
      </c>
      <c r="W251" s="12">
        <f>IF(원데이터!A251-설정!$B$16&lt;0,0,IF(원데이터!A251-설정!$B$16&lt;설정!$B$17,설정!$B$33,IF(원데이터!A251-설정!$B$16&lt;설정!$B$17+설정!$B$18,설정!$B$33+(설정!$B$34-설정!$B$33)*(원데이터!A251-설정!$B$16-설정!$B$17+1)/설정!$B$18,IF(원데이터!A251-설정!$B$16&lt;설정!$B$17+설정!$B$18+설정!$B$19,설정!$B$34,IF(원데이터!A251-설정!$B$16&lt;설정!$B$17+설정!$B$18+설정!$B$19+설정!$B$20,설정!$B$34+(설정!$B$35-설정!$B$34)*(원데이터!A251-설정!$B$16-설정!$B$17-설정!$B$18-설정!$B$19+1)/설정!$B$20,0)))))</f>
        <v/>
      </c>
      <c r="X251" s="12">
        <f>0.108-0.0286*K251+0.0422*LN(설정!$B$5)+0.1434*LN(원데이터!E251)-0.000631*LN(설정!$B$5)^2*LN(원데이터!E251)</f>
        <v/>
      </c>
      <c r="Y251" s="17">
        <f>원데이터!M251</f>
        <v/>
      </c>
      <c r="Z251" s="18">
        <f>X251*Y251</f>
        <v/>
      </c>
      <c r="AA251" s="18">
        <f>U251*W251</f>
        <v/>
      </c>
      <c r="AB251" s="18">
        <f>Z251*W251</f>
        <v/>
      </c>
    </row>
    <row r="252">
      <c r="A252" s="15">
        <f>원데이터!A252</f>
        <v/>
      </c>
      <c r="B252" s="14">
        <f>원데이터!A252-DATE(YEAR(원데이터!A252),1,1)+1</f>
        <v/>
      </c>
      <c r="C252" s="17">
        <f>(원데이터!B252+원데이터!C252)/2</f>
        <v/>
      </c>
      <c r="D252" s="12">
        <f>0.6108*EXP(17.27*원데이터!B252/(원데이터!B252+237.3))</f>
        <v/>
      </c>
      <c r="E252" s="12">
        <f>0.6108*EXP(17.27*원데이터!C252/(원데이터!C252+237.3))</f>
        <v/>
      </c>
      <c r="F252" s="12">
        <f>(D252+E252)/2</f>
        <v/>
      </c>
      <c r="G252" s="12">
        <f>IF(원데이터!H252&lt;&gt;"",원데이터!H252/10,IF(원데이터!I252&lt;&gt;"",0.6108*EXP(17.27*원데이터!I252/(원데이터!I252+237.3)),원데이터!E252/100*F252))</f>
        <v/>
      </c>
      <c r="H252" s="21">
        <f>4098*(0.6108*EXP(17.27*C252/(C252+237.3)))/(C252+237.3)^2</f>
        <v/>
      </c>
      <c r="I252" s="17">
        <f>IF(원데이터!J252&lt;&gt;"",원데이터!J252/10,101.3*((293-0.0065*설정!$B$3)/293)^5.26)</f>
        <v/>
      </c>
      <c r="J252" s="21">
        <f>0.000665*I252</f>
        <v/>
      </c>
      <c r="K252" s="18">
        <f>원데이터!G252*4.87/LN(67.8*설정!$B$4-5.42)</f>
        <v/>
      </c>
      <c r="L252" s="12">
        <f>1+0.033*COS(2*PI()*B252/365)</f>
        <v/>
      </c>
      <c r="M252" s="21">
        <f>0.409*SIN(2*PI()*B252/365-1.39)</f>
        <v/>
      </c>
      <c r="N252" s="21">
        <f>ACOS(-TAN(RADIANS(설정!$B$2))*TAN(M252))</f>
        <v/>
      </c>
      <c r="O252" s="18">
        <f>(24*60/PI())*0.082*L252*(N252*SIN(RADIANS(설정!$B$2))*SIN(M252)+COS(RADIANS(설정!$B$2))*COS(M252)*SIN(N252))</f>
        <v/>
      </c>
      <c r="P252" s="18">
        <f>(0.75+0.00002*설정!$B$3)*O252</f>
        <v/>
      </c>
      <c r="Q252" s="18">
        <f>IF(원데이터!K252&lt;&gt;"",원데이터!K252,(0.25+0.5*원데이터!L252/(24/PI()*N252))*O252)</f>
        <v/>
      </c>
      <c r="R252" s="18">
        <f>0.77*Q252</f>
        <v/>
      </c>
      <c r="S252" s="18">
        <f>0.000000004903*(((원데이터!B252+273.16)^4+(원데이터!C252+273.16)^4)/2)*(0.34-0.14*SQRT(G252))*(1.35*MIN(Q252/P252,1)-0.35)</f>
        <v/>
      </c>
      <c r="T252" s="18">
        <f>R252-S252</f>
        <v/>
      </c>
      <c r="U252" s="18">
        <f>(0.408*H252*T252+J252*(900/(C252+273))*K252*(F252-G252))/(H252+J252*(1+0.34*K252))</f>
        <v/>
      </c>
      <c r="V252" s="11">
        <f>IF(원데이터!A252-설정!$B$16&lt;0,"발아전",IF(원데이터!A252-설정!$B$16&lt;설정!$B$17,"초기",IF(원데이터!A252-설정!$B$16&lt;설정!$B$17+설정!$B$18,"발육",IF(원데이터!A252-설정!$B$16&lt;설정!$B$17+설정!$B$18+설정!$B$19,"중기",IF(원데이터!A252-설정!$B$16&lt;설정!$B$17+설정!$B$18+설정!$B$19+설정!$B$20,"후기","후기이후")))))</f>
        <v/>
      </c>
      <c r="W252" s="12">
        <f>IF(원데이터!A252-설정!$B$16&lt;0,0,IF(원데이터!A252-설정!$B$16&lt;설정!$B$17,설정!$B$33,IF(원데이터!A252-설정!$B$16&lt;설정!$B$17+설정!$B$18,설정!$B$33+(설정!$B$34-설정!$B$33)*(원데이터!A252-설정!$B$16-설정!$B$17+1)/설정!$B$18,IF(원데이터!A252-설정!$B$16&lt;설정!$B$17+설정!$B$18+설정!$B$19,설정!$B$34,IF(원데이터!A252-설정!$B$16&lt;설정!$B$17+설정!$B$18+설정!$B$19+설정!$B$20,설정!$B$34+(설정!$B$35-설정!$B$34)*(원데이터!A252-설정!$B$16-설정!$B$17-설정!$B$18-설정!$B$19+1)/설정!$B$20,0)))))</f>
        <v/>
      </c>
      <c r="X252" s="12">
        <f>0.108-0.0286*K252+0.0422*LN(설정!$B$5)+0.1434*LN(원데이터!E252)-0.000631*LN(설정!$B$5)^2*LN(원데이터!E252)</f>
        <v/>
      </c>
      <c r="Y252" s="17">
        <f>원데이터!M252</f>
        <v/>
      </c>
      <c r="Z252" s="18">
        <f>X252*Y252</f>
        <v/>
      </c>
      <c r="AA252" s="18">
        <f>U252*W252</f>
        <v/>
      </c>
      <c r="AB252" s="18">
        <f>Z252*W252</f>
        <v/>
      </c>
    </row>
    <row r="253">
      <c r="A253" s="15">
        <f>원데이터!A253</f>
        <v/>
      </c>
      <c r="B253" s="14">
        <f>원데이터!A253-DATE(YEAR(원데이터!A253),1,1)+1</f>
        <v/>
      </c>
      <c r="C253" s="17">
        <f>(원데이터!B253+원데이터!C253)/2</f>
        <v/>
      </c>
      <c r="D253" s="12">
        <f>0.6108*EXP(17.27*원데이터!B253/(원데이터!B253+237.3))</f>
        <v/>
      </c>
      <c r="E253" s="12">
        <f>0.6108*EXP(17.27*원데이터!C253/(원데이터!C253+237.3))</f>
        <v/>
      </c>
      <c r="F253" s="12">
        <f>(D253+E253)/2</f>
        <v/>
      </c>
      <c r="G253" s="12">
        <f>IF(원데이터!H253&lt;&gt;"",원데이터!H253/10,IF(원데이터!I253&lt;&gt;"",0.6108*EXP(17.27*원데이터!I253/(원데이터!I253+237.3)),원데이터!E253/100*F253))</f>
        <v/>
      </c>
      <c r="H253" s="21">
        <f>4098*(0.6108*EXP(17.27*C253/(C253+237.3)))/(C253+237.3)^2</f>
        <v/>
      </c>
      <c r="I253" s="17">
        <f>IF(원데이터!J253&lt;&gt;"",원데이터!J253/10,101.3*((293-0.0065*설정!$B$3)/293)^5.26)</f>
        <v/>
      </c>
      <c r="J253" s="21">
        <f>0.000665*I253</f>
        <v/>
      </c>
      <c r="K253" s="18">
        <f>원데이터!G253*4.87/LN(67.8*설정!$B$4-5.42)</f>
        <v/>
      </c>
      <c r="L253" s="12">
        <f>1+0.033*COS(2*PI()*B253/365)</f>
        <v/>
      </c>
      <c r="M253" s="21">
        <f>0.409*SIN(2*PI()*B253/365-1.39)</f>
        <v/>
      </c>
      <c r="N253" s="21">
        <f>ACOS(-TAN(RADIANS(설정!$B$2))*TAN(M253))</f>
        <v/>
      </c>
      <c r="O253" s="18">
        <f>(24*60/PI())*0.082*L253*(N253*SIN(RADIANS(설정!$B$2))*SIN(M253)+COS(RADIANS(설정!$B$2))*COS(M253)*SIN(N253))</f>
        <v/>
      </c>
      <c r="P253" s="18">
        <f>(0.75+0.00002*설정!$B$3)*O253</f>
        <v/>
      </c>
      <c r="Q253" s="18">
        <f>IF(원데이터!K253&lt;&gt;"",원데이터!K253,(0.25+0.5*원데이터!L253/(24/PI()*N253))*O253)</f>
        <v/>
      </c>
      <c r="R253" s="18">
        <f>0.77*Q253</f>
        <v/>
      </c>
      <c r="S253" s="18">
        <f>0.000000004903*(((원데이터!B253+273.16)^4+(원데이터!C253+273.16)^4)/2)*(0.34-0.14*SQRT(G253))*(1.35*MIN(Q253/P253,1)-0.35)</f>
        <v/>
      </c>
      <c r="T253" s="18">
        <f>R253-S253</f>
        <v/>
      </c>
      <c r="U253" s="18">
        <f>(0.408*H253*T253+J253*(900/(C253+273))*K253*(F253-G253))/(H253+J253*(1+0.34*K253))</f>
        <v/>
      </c>
      <c r="V253" s="11">
        <f>IF(원데이터!A253-설정!$B$16&lt;0,"발아전",IF(원데이터!A253-설정!$B$16&lt;설정!$B$17,"초기",IF(원데이터!A253-설정!$B$16&lt;설정!$B$17+설정!$B$18,"발육",IF(원데이터!A253-설정!$B$16&lt;설정!$B$17+설정!$B$18+설정!$B$19,"중기",IF(원데이터!A253-설정!$B$16&lt;설정!$B$17+설정!$B$18+설정!$B$19+설정!$B$20,"후기","후기이후")))))</f>
        <v/>
      </c>
      <c r="W253" s="12">
        <f>IF(원데이터!A253-설정!$B$16&lt;0,0,IF(원데이터!A253-설정!$B$16&lt;설정!$B$17,설정!$B$33,IF(원데이터!A253-설정!$B$16&lt;설정!$B$17+설정!$B$18,설정!$B$33+(설정!$B$34-설정!$B$33)*(원데이터!A253-설정!$B$16-설정!$B$17+1)/설정!$B$18,IF(원데이터!A253-설정!$B$16&lt;설정!$B$17+설정!$B$18+설정!$B$19,설정!$B$34,IF(원데이터!A253-설정!$B$16&lt;설정!$B$17+설정!$B$18+설정!$B$19+설정!$B$20,설정!$B$34+(설정!$B$35-설정!$B$34)*(원데이터!A253-설정!$B$16-설정!$B$17-설정!$B$18-설정!$B$19+1)/설정!$B$20,0)))))</f>
        <v/>
      </c>
      <c r="X253" s="12">
        <f>0.108-0.0286*K253+0.0422*LN(설정!$B$5)+0.1434*LN(원데이터!E253)-0.000631*LN(설정!$B$5)^2*LN(원데이터!E253)</f>
        <v/>
      </c>
      <c r="Y253" s="17">
        <f>원데이터!M253</f>
        <v/>
      </c>
      <c r="Z253" s="18">
        <f>X253*Y253</f>
        <v/>
      </c>
      <c r="AA253" s="18">
        <f>U253*W253</f>
        <v/>
      </c>
      <c r="AB253" s="18">
        <f>Z253*W253</f>
        <v/>
      </c>
    </row>
    <row r="254">
      <c r="A254" s="15">
        <f>원데이터!A254</f>
        <v/>
      </c>
      <c r="B254" s="14">
        <f>원데이터!A254-DATE(YEAR(원데이터!A254),1,1)+1</f>
        <v/>
      </c>
      <c r="C254" s="17">
        <f>(원데이터!B254+원데이터!C254)/2</f>
        <v/>
      </c>
      <c r="D254" s="12">
        <f>0.6108*EXP(17.27*원데이터!B254/(원데이터!B254+237.3))</f>
        <v/>
      </c>
      <c r="E254" s="12">
        <f>0.6108*EXP(17.27*원데이터!C254/(원데이터!C254+237.3))</f>
        <v/>
      </c>
      <c r="F254" s="12">
        <f>(D254+E254)/2</f>
        <v/>
      </c>
      <c r="G254" s="12">
        <f>IF(원데이터!H254&lt;&gt;"",원데이터!H254/10,IF(원데이터!I254&lt;&gt;"",0.6108*EXP(17.27*원데이터!I254/(원데이터!I254+237.3)),원데이터!E254/100*F254))</f>
        <v/>
      </c>
      <c r="H254" s="21">
        <f>4098*(0.6108*EXP(17.27*C254/(C254+237.3)))/(C254+237.3)^2</f>
        <v/>
      </c>
      <c r="I254" s="17">
        <f>IF(원데이터!J254&lt;&gt;"",원데이터!J254/10,101.3*((293-0.0065*설정!$B$3)/293)^5.26)</f>
        <v/>
      </c>
      <c r="J254" s="21">
        <f>0.000665*I254</f>
        <v/>
      </c>
      <c r="K254" s="18">
        <f>원데이터!G254*4.87/LN(67.8*설정!$B$4-5.42)</f>
        <v/>
      </c>
      <c r="L254" s="12">
        <f>1+0.033*COS(2*PI()*B254/365)</f>
        <v/>
      </c>
      <c r="M254" s="21">
        <f>0.409*SIN(2*PI()*B254/365-1.39)</f>
        <v/>
      </c>
      <c r="N254" s="21">
        <f>ACOS(-TAN(RADIANS(설정!$B$2))*TAN(M254))</f>
        <v/>
      </c>
      <c r="O254" s="18">
        <f>(24*60/PI())*0.082*L254*(N254*SIN(RADIANS(설정!$B$2))*SIN(M254)+COS(RADIANS(설정!$B$2))*COS(M254)*SIN(N254))</f>
        <v/>
      </c>
      <c r="P254" s="18">
        <f>(0.75+0.00002*설정!$B$3)*O254</f>
        <v/>
      </c>
      <c r="Q254" s="18">
        <f>IF(원데이터!K254&lt;&gt;"",원데이터!K254,(0.25+0.5*원데이터!L254/(24/PI()*N254))*O254)</f>
        <v/>
      </c>
      <c r="R254" s="18">
        <f>0.77*Q254</f>
        <v/>
      </c>
      <c r="S254" s="18">
        <f>0.000000004903*(((원데이터!B254+273.16)^4+(원데이터!C254+273.16)^4)/2)*(0.34-0.14*SQRT(G254))*(1.35*MIN(Q254/P254,1)-0.35)</f>
        <v/>
      </c>
      <c r="T254" s="18">
        <f>R254-S254</f>
        <v/>
      </c>
      <c r="U254" s="18">
        <f>(0.408*H254*T254+J254*(900/(C254+273))*K254*(F254-G254))/(H254+J254*(1+0.34*K254))</f>
        <v/>
      </c>
      <c r="V254" s="11">
        <f>IF(원데이터!A254-설정!$B$16&lt;0,"발아전",IF(원데이터!A254-설정!$B$16&lt;설정!$B$17,"초기",IF(원데이터!A254-설정!$B$16&lt;설정!$B$17+설정!$B$18,"발육",IF(원데이터!A254-설정!$B$16&lt;설정!$B$17+설정!$B$18+설정!$B$19,"중기",IF(원데이터!A254-설정!$B$16&lt;설정!$B$17+설정!$B$18+설정!$B$19+설정!$B$20,"후기","후기이후")))))</f>
        <v/>
      </c>
      <c r="W254" s="12">
        <f>IF(원데이터!A254-설정!$B$16&lt;0,0,IF(원데이터!A254-설정!$B$16&lt;설정!$B$17,설정!$B$33,IF(원데이터!A254-설정!$B$16&lt;설정!$B$17+설정!$B$18,설정!$B$33+(설정!$B$34-설정!$B$33)*(원데이터!A254-설정!$B$16-설정!$B$17+1)/설정!$B$18,IF(원데이터!A254-설정!$B$16&lt;설정!$B$17+설정!$B$18+설정!$B$19,설정!$B$34,IF(원데이터!A254-설정!$B$16&lt;설정!$B$17+설정!$B$18+설정!$B$19+설정!$B$20,설정!$B$34+(설정!$B$35-설정!$B$34)*(원데이터!A254-설정!$B$16-설정!$B$17-설정!$B$18-설정!$B$19+1)/설정!$B$20,0)))))</f>
        <v/>
      </c>
      <c r="X254" s="12">
        <f>0.108-0.0286*K254+0.0422*LN(설정!$B$5)+0.1434*LN(원데이터!E254)-0.000631*LN(설정!$B$5)^2*LN(원데이터!E254)</f>
        <v/>
      </c>
      <c r="Y254" s="17">
        <f>원데이터!M254</f>
        <v/>
      </c>
      <c r="Z254" s="18">
        <f>X254*Y254</f>
        <v/>
      </c>
      <c r="AA254" s="18">
        <f>U254*W254</f>
        <v/>
      </c>
      <c r="AB254" s="18">
        <f>Z254*W254</f>
        <v/>
      </c>
    </row>
    <row r="255">
      <c r="A255" s="15">
        <f>원데이터!A255</f>
        <v/>
      </c>
      <c r="B255" s="14">
        <f>원데이터!A255-DATE(YEAR(원데이터!A255),1,1)+1</f>
        <v/>
      </c>
      <c r="C255" s="17">
        <f>(원데이터!B255+원데이터!C255)/2</f>
        <v/>
      </c>
      <c r="D255" s="12">
        <f>0.6108*EXP(17.27*원데이터!B255/(원데이터!B255+237.3))</f>
        <v/>
      </c>
      <c r="E255" s="12">
        <f>0.6108*EXP(17.27*원데이터!C255/(원데이터!C255+237.3))</f>
        <v/>
      </c>
      <c r="F255" s="12">
        <f>(D255+E255)/2</f>
        <v/>
      </c>
      <c r="G255" s="12">
        <f>IF(원데이터!H255&lt;&gt;"",원데이터!H255/10,IF(원데이터!I255&lt;&gt;"",0.6108*EXP(17.27*원데이터!I255/(원데이터!I255+237.3)),원데이터!E255/100*F255))</f>
        <v/>
      </c>
      <c r="H255" s="21">
        <f>4098*(0.6108*EXP(17.27*C255/(C255+237.3)))/(C255+237.3)^2</f>
        <v/>
      </c>
      <c r="I255" s="17">
        <f>IF(원데이터!J255&lt;&gt;"",원데이터!J255/10,101.3*((293-0.0065*설정!$B$3)/293)^5.26)</f>
        <v/>
      </c>
      <c r="J255" s="21">
        <f>0.000665*I255</f>
        <v/>
      </c>
      <c r="K255" s="18">
        <f>원데이터!G255*4.87/LN(67.8*설정!$B$4-5.42)</f>
        <v/>
      </c>
      <c r="L255" s="12">
        <f>1+0.033*COS(2*PI()*B255/365)</f>
        <v/>
      </c>
      <c r="M255" s="21">
        <f>0.409*SIN(2*PI()*B255/365-1.39)</f>
        <v/>
      </c>
      <c r="N255" s="21">
        <f>ACOS(-TAN(RADIANS(설정!$B$2))*TAN(M255))</f>
        <v/>
      </c>
      <c r="O255" s="18">
        <f>(24*60/PI())*0.082*L255*(N255*SIN(RADIANS(설정!$B$2))*SIN(M255)+COS(RADIANS(설정!$B$2))*COS(M255)*SIN(N255))</f>
        <v/>
      </c>
      <c r="P255" s="18">
        <f>(0.75+0.00002*설정!$B$3)*O255</f>
        <v/>
      </c>
      <c r="Q255" s="18">
        <f>IF(원데이터!K255&lt;&gt;"",원데이터!K255,(0.25+0.5*원데이터!L255/(24/PI()*N255))*O255)</f>
        <v/>
      </c>
      <c r="R255" s="18">
        <f>0.77*Q255</f>
        <v/>
      </c>
      <c r="S255" s="18">
        <f>0.000000004903*(((원데이터!B255+273.16)^4+(원데이터!C255+273.16)^4)/2)*(0.34-0.14*SQRT(G255))*(1.35*MIN(Q255/P255,1)-0.35)</f>
        <v/>
      </c>
      <c r="T255" s="18">
        <f>R255-S255</f>
        <v/>
      </c>
      <c r="U255" s="18">
        <f>(0.408*H255*T255+J255*(900/(C255+273))*K255*(F255-G255))/(H255+J255*(1+0.34*K255))</f>
        <v/>
      </c>
      <c r="V255" s="11">
        <f>IF(원데이터!A255-설정!$B$16&lt;0,"발아전",IF(원데이터!A255-설정!$B$16&lt;설정!$B$17,"초기",IF(원데이터!A255-설정!$B$16&lt;설정!$B$17+설정!$B$18,"발육",IF(원데이터!A255-설정!$B$16&lt;설정!$B$17+설정!$B$18+설정!$B$19,"중기",IF(원데이터!A255-설정!$B$16&lt;설정!$B$17+설정!$B$18+설정!$B$19+설정!$B$20,"후기","후기이후")))))</f>
        <v/>
      </c>
      <c r="W255" s="12">
        <f>IF(원데이터!A255-설정!$B$16&lt;0,0,IF(원데이터!A255-설정!$B$16&lt;설정!$B$17,설정!$B$33,IF(원데이터!A255-설정!$B$16&lt;설정!$B$17+설정!$B$18,설정!$B$33+(설정!$B$34-설정!$B$33)*(원데이터!A255-설정!$B$16-설정!$B$17+1)/설정!$B$18,IF(원데이터!A255-설정!$B$16&lt;설정!$B$17+설정!$B$18+설정!$B$19,설정!$B$34,IF(원데이터!A255-설정!$B$16&lt;설정!$B$17+설정!$B$18+설정!$B$19+설정!$B$20,설정!$B$34+(설정!$B$35-설정!$B$34)*(원데이터!A255-설정!$B$16-설정!$B$17-설정!$B$18-설정!$B$19+1)/설정!$B$20,0)))))</f>
        <v/>
      </c>
      <c r="X255" s="12">
        <f>0.108-0.0286*K255+0.0422*LN(설정!$B$5)+0.1434*LN(원데이터!E255)-0.000631*LN(설정!$B$5)^2*LN(원데이터!E255)</f>
        <v/>
      </c>
      <c r="Y255" s="17">
        <f>원데이터!M255</f>
        <v/>
      </c>
      <c r="Z255" s="18">
        <f>X255*Y255</f>
        <v/>
      </c>
      <c r="AA255" s="18">
        <f>U255*W255</f>
        <v/>
      </c>
      <c r="AB255" s="18">
        <f>Z255*W255</f>
        <v/>
      </c>
    </row>
    <row r="256">
      <c r="A256" s="15">
        <f>원데이터!A256</f>
        <v/>
      </c>
      <c r="B256" s="14">
        <f>원데이터!A256-DATE(YEAR(원데이터!A256),1,1)+1</f>
        <v/>
      </c>
      <c r="C256" s="17">
        <f>(원데이터!B256+원데이터!C256)/2</f>
        <v/>
      </c>
      <c r="D256" s="12">
        <f>0.6108*EXP(17.27*원데이터!B256/(원데이터!B256+237.3))</f>
        <v/>
      </c>
      <c r="E256" s="12">
        <f>0.6108*EXP(17.27*원데이터!C256/(원데이터!C256+237.3))</f>
        <v/>
      </c>
      <c r="F256" s="12">
        <f>(D256+E256)/2</f>
        <v/>
      </c>
      <c r="G256" s="12">
        <f>IF(원데이터!H256&lt;&gt;"",원데이터!H256/10,IF(원데이터!I256&lt;&gt;"",0.6108*EXP(17.27*원데이터!I256/(원데이터!I256+237.3)),원데이터!E256/100*F256))</f>
        <v/>
      </c>
      <c r="H256" s="21">
        <f>4098*(0.6108*EXP(17.27*C256/(C256+237.3)))/(C256+237.3)^2</f>
        <v/>
      </c>
      <c r="I256" s="17">
        <f>IF(원데이터!J256&lt;&gt;"",원데이터!J256/10,101.3*((293-0.0065*설정!$B$3)/293)^5.26)</f>
        <v/>
      </c>
      <c r="J256" s="21">
        <f>0.000665*I256</f>
        <v/>
      </c>
      <c r="K256" s="18">
        <f>원데이터!G256*4.87/LN(67.8*설정!$B$4-5.42)</f>
        <v/>
      </c>
      <c r="L256" s="12">
        <f>1+0.033*COS(2*PI()*B256/365)</f>
        <v/>
      </c>
      <c r="M256" s="21">
        <f>0.409*SIN(2*PI()*B256/365-1.39)</f>
        <v/>
      </c>
      <c r="N256" s="21">
        <f>ACOS(-TAN(RADIANS(설정!$B$2))*TAN(M256))</f>
        <v/>
      </c>
      <c r="O256" s="18">
        <f>(24*60/PI())*0.082*L256*(N256*SIN(RADIANS(설정!$B$2))*SIN(M256)+COS(RADIANS(설정!$B$2))*COS(M256)*SIN(N256))</f>
        <v/>
      </c>
      <c r="P256" s="18">
        <f>(0.75+0.00002*설정!$B$3)*O256</f>
        <v/>
      </c>
      <c r="Q256" s="18">
        <f>IF(원데이터!K256&lt;&gt;"",원데이터!K256,(0.25+0.5*원데이터!L256/(24/PI()*N256))*O256)</f>
        <v/>
      </c>
      <c r="R256" s="18">
        <f>0.77*Q256</f>
        <v/>
      </c>
      <c r="S256" s="18">
        <f>0.000000004903*(((원데이터!B256+273.16)^4+(원데이터!C256+273.16)^4)/2)*(0.34-0.14*SQRT(G256))*(1.35*MIN(Q256/P256,1)-0.35)</f>
        <v/>
      </c>
      <c r="T256" s="18">
        <f>R256-S256</f>
        <v/>
      </c>
      <c r="U256" s="18">
        <f>(0.408*H256*T256+J256*(900/(C256+273))*K256*(F256-G256))/(H256+J256*(1+0.34*K256))</f>
        <v/>
      </c>
      <c r="V256" s="11">
        <f>IF(원데이터!A256-설정!$B$16&lt;0,"발아전",IF(원데이터!A256-설정!$B$16&lt;설정!$B$17,"초기",IF(원데이터!A256-설정!$B$16&lt;설정!$B$17+설정!$B$18,"발육",IF(원데이터!A256-설정!$B$16&lt;설정!$B$17+설정!$B$18+설정!$B$19,"중기",IF(원데이터!A256-설정!$B$16&lt;설정!$B$17+설정!$B$18+설정!$B$19+설정!$B$20,"후기","후기이후")))))</f>
        <v/>
      </c>
      <c r="W256" s="12">
        <f>IF(원데이터!A256-설정!$B$16&lt;0,0,IF(원데이터!A256-설정!$B$16&lt;설정!$B$17,설정!$B$33,IF(원데이터!A256-설정!$B$16&lt;설정!$B$17+설정!$B$18,설정!$B$33+(설정!$B$34-설정!$B$33)*(원데이터!A256-설정!$B$16-설정!$B$17+1)/설정!$B$18,IF(원데이터!A256-설정!$B$16&lt;설정!$B$17+설정!$B$18+설정!$B$19,설정!$B$34,IF(원데이터!A256-설정!$B$16&lt;설정!$B$17+설정!$B$18+설정!$B$19+설정!$B$20,설정!$B$34+(설정!$B$35-설정!$B$34)*(원데이터!A256-설정!$B$16-설정!$B$17-설정!$B$18-설정!$B$19+1)/설정!$B$20,0)))))</f>
        <v/>
      </c>
      <c r="X256" s="12">
        <f>0.108-0.0286*K256+0.0422*LN(설정!$B$5)+0.1434*LN(원데이터!E256)-0.000631*LN(설정!$B$5)^2*LN(원데이터!E256)</f>
        <v/>
      </c>
      <c r="Y256" s="17">
        <f>원데이터!M256</f>
        <v/>
      </c>
      <c r="Z256" s="18">
        <f>X256*Y256</f>
        <v/>
      </c>
      <c r="AA256" s="18">
        <f>U256*W256</f>
        <v/>
      </c>
      <c r="AB256" s="18">
        <f>Z256*W256</f>
        <v/>
      </c>
    </row>
    <row r="257">
      <c r="A257" s="15">
        <f>원데이터!A257</f>
        <v/>
      </c>
      <c r="B257" s="14">
        <f>원데이터!A257-DATE(YEAR(원데이터!A257),1,1)+1</f>
        <v/>
      </c>
      <c r="C257" s="17">
        <f>(원데이터!B257+원데이터!C257)/2</f>
        <v/>
      </c>
      <c r="D257" s="12">
        <f>0.6108*EXP(17.27*원데이터!B257/(원데이터!B257+237.3))</f>
        <v/>
      </c>
      <c r="E257" s="12">
        <f>0.6108*EXP(17.27*원데이터!C257/(원데이터!C257+237.3))</f>
        <v/>
      </c>
      <c r="F257" s="12">
        <f>(D257+E257)/2</f>
        <v/>
      </c>
      <c r="G257" s="12">
        <f>IF(원데이터!H257&lt;&gt;"",원데이터!H257/10,IF(원데이터!I257&lt;&gt;"",0.6108*EXP(17.27*원데이터!I257/(원데이터!I257+237.3)),원데이터!E257/100*F257))</f>
        <v/>
      </c>
      <c r="H257" s="21">
        <f>4098*(0.6108*EXP(17.27*C257/(C257+237.3)))/(C257+237.3)^2</f>
        <v/>
      </c>
      <c r="I257" s="17">
        <f>IF(원데이터!J257&lt;&gt;"",원데이터!J257/10,101.3*((293-0.0065*설정!$B$3)/293)^5.26)</f>
        <v/>
      </c>
      <c r="J257" s="21">
        <f>0.000665*I257</f>
        <v/>
      </c>
      <c r="K257" s="18">
        <f>원데이터!G257*4.87/LN(67.8*설정!$B$4-5.42)</f>
        <v/>
      </c>
      <c r="L257" s="12">
        <f>1+0.033*COS(2*PI()*B257/365)</f>
        <v/>
      </c>
      <c r="M257" s="21">
        <f>0.409*SIN(2*PI()*B257/365-1.39)</f>
        <v/>
      </c>
      <c r="N257" s="21">
        <f>ACOS(-TAN(RADIANS(설정!$B$2))*TAN(M257))</f>
        <v/>
      </c>
      <c r="O257" s="18">
        <f>(24*60/PI())*0.082*L257*(N257*SIN(RADIANS(설정!$B$2))*SIN(M257)+COS(RADIANS(설정!$B$2))*COS(M257)*SIN(N257))</f>
        <v/>
      </c>
      <c r="P257" s="18">
        <f>(0.75+0.00002*설정!$B$3)*O257</f>
        <v/>
      </c>
      <c r="Q257" s="18">
        <f>IF(원데이터!K257&lt;&gt;"",원데이터!K257,(0.25+0.5*원데이터!L257/(24/PI()*N257))*O257)</f>
        <v/>
      </c>
      <c r="R257" s="18">
        <f>0.77*Q257</f>
        <v/>
      </c>
      <c r="S257" s="18">
        <f>0.000000004903*(((원데이터!B257+273.16)^4+(원데이터!C257+273.16)^4)/2)*(0.34-0.14*SQRT(G257))*(1.35*MIN(Q257/P257,1)-0.35)</f>
        <v/>
      </c>
      <c r="T257" s="18">
        <f>R257-S257</f>
        <v/>
      </c>
      <c r="U257" s="18">
        <f>(0.408*H257*T257+J257*(900/(C257+273))*K257*(F257-G257))/(H257+J257*(1+0.34*K257))</f>
        <v/>
      </c>
      <c r="V257" s="11">
        <f>IF(원데이터!A257-설정!$B$16&lt;0,"발아전",IF(원데이터!A257-설정!$B$16&lt;설정!$B$17,"초기",IF(원데이터!A257-설정!$B$16&lt;설정!$B$17+설정!$B$18,"발육",IF(원데이터!A257-설정!$B$16&lt;설정!$B$17+설정!$B$18+설정!$B$19,"중기",IF(원데이터!A257-설정!$B$16&lt;설정!$B$17+설정!$B$18+설정!$B$19+설정!$B$20,"후기","후기이후")))))</f>
        <v/>
      </c>
      <c r="W257" s="12">
        <f>IF(원데이터!A257-설정!$B$16&lt;0,0,IF(원데이터!A257-설정!$B$16&lt;설정!$B$17,설정!$B$33,IF(원데이터!A257-설정!$B$16&lt;설정!$B$17+설정!$B$18,설정!$B$33+(설정!$B$34-설정!$B$33)*(원데이터!A257-설정!$B$16-설정!$B$17+1)/설정!$B$18,IF(원데이터!A257-설정!$B$16&lt;설정!$B$17+설정!$B$18+설정!$B$19,설정!$B$34,IF(원데이터!A257-설정!$B$16&lt;설정!$B$17+설정!$B$18+설정!$B$19+설정!$B$20,설정!$B$34+(설정!$B$35-설정!$B$34)*(원데이터!A257-설정!$B$16-설정!$B$17-설정!$B$18-설정!$B$19+1)/설정!$B$20,0)))))</f>
        <v/>
      </c>
      <c r="X257" s="12">
        <f>0.108-0.0286*K257+0.0422*LN(설정!$B$5)+0.1434*LN(원데이터!E257)-0.000631*LN(설정!$B$5)^2*LN(원데이터!E257)</f>
        <v/>
      </c>
      <c r="Y257" s="17">
        <f>원데이터!M257</f>
        <v/>
      </c>
      <c r="Z257" s="18">
        <f>X257*Y257</f>
        <v/>
      </c>
      <c r="AA257" s="18">
        <f>U257*W257</f>
        <v/>
      </c>
      <c r="AB257" s="18">
        <f>Z257*W257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  <col width="8" customWidth="1" min="8" max="8"/>
    <col width="7" customWidth="1" min="9" max="9"/>
  </cols>
  <sheetData>
    <row r="1">
      <c r="A1" s="22" t="inlineStr">
        <is>
          <t>지점 101 기준증발산량 결과요약  20260101~20260913</t>
        </is>
      </c>
      <c r="B1" s="9" t="n"/>
      <c r="C1" s="9" t="n"/>
      <c r="D1" s="10" t="n"/>
    </row>
    <row r="3">
      <c r="A3" s="3" t="inlineStr">
        <is>
          <t>ETo_PM  월합계 (mm)</t>
        </is>
      </c>
      <c r="B3" s="23">
        <f>SUM(계산과정!U2:U257)</f>
        <v/>
      </c>
    </row>
    <row r="4">
      <c r="A4" s="3" t="inlineStr">
        <is>
          <t>ETo_PM  일평균 (mm/d)</t>
        </is>
      </c>
      <c r="B4" s="24">
        <f>AVERAGE(계산과정!U2:U257)</f>
        <v/>
      </c>
    </row>
    <row r="5">
      <c r="A5" s="3" t="inlineStr">
        <is>
          <t>ETo_pan 월합계 (mm)</t>
        </is>
      </c>
      <c r="B5" s="23">
        <f>SUM(계산과정!Z2:Z257)</f>
        <v/>
      </c>
    </row>
    <row r="6">
      <c r="A6" s="3" t="inlineStr">
        <is>
          <t>ETo_pan 일평균 (mm/d)</t>
        </is>
      </c>
      <c r="B6" s="24">
        <f>AVERAGE(계산과정!Z2:Z257)</f>
        <v/>
      </c>
    </row>
    <row r="7">
      <c r="A7" s="3" t="inlineStr">
        <is>
          <t>대형증발량 월합계 (mm)</t>
        </is>
      </c>
      <c r="B7" s="23">
        <f>SUM(계산과정!Y2:Y257)</f>
        <v/>
      </c>
    </row>
    <row r="8">
      <c r="A8" s="3" t="inlineStr">
        <is>
          <t>두 방법 상관 r</t>
        </is>
      </c>
      <c r="B8" s="25">
        <f>IFERROR(CORREL(계산과정!U2:U257,계산과정!Z2:Z257),"—")</f>
        <v/>
      </c>
    </row>
    <row r="9">
      <c r="A9" s="3" t="inlineStr">
        <is>
          <t>편향 ME (pan−PM, mm/d)</t>
        </is>
      </c>
      <c r="B9" s="24">
        <f>AVERAGE(계산과정!Z2:Z257)-AVERAGE(계산과정!U2:U257)</f>
        <v/>
      </c>
    </row>
    <row r="10">
      <c r="A10" s="3" t="inlineStr">
        <is>
          <t>RMSE (mm/d)</t>
        </is>
      </c>
      <c r="B10" s="24">
        <f>IFERROR(SQRT(SUMPRODUCT((계산과정!Z2:Z257-계산과정!U2:U257)^2)/256),"—")</f>
        <v/>
      </c>
    </row>
    <row r="11">
      <c r="A11" s="3" t="inlineStr">
        <is>
          <t>월누적 차이 (pan/PM−1)</t>
        </is>
      </c>
      <c r="B11" s="26">
        <f>IFERROR(SUM(계산과정!Z2:Z257)/SUM(계산과정!U2:U257)-1,"—")</f>
        <v/>
      </c>
    </row>
    <row r="12">
      <c r="A12" s="3" t="inlineStr">
        <is>
          <t>ETc_PM (=Kc×ETo) 월합계 (mm)</t>
        </is>
      </c>
      <c r="B12" s="23">
        <f>SUM(계산과정!AA2:AA257)</f>
        <v/>
      </c>
    </row>
    <row r="13">
      <c r="A13" s="3" t="inlineStr">
        <is>
          <t>ETc_PM 일평균 (mm/d)</t>
        </is>
      </c>
      <c r="B13" s="24">
        <f>AVERAGE(계산과정!AA2:AA257)</f>
        <v/>
      </c>
    </row>
    <row r="14">
      <c r="A14" s="3" t="inlineStr"/>
      <c r="B14" s="27" t="inlineStr"/>
    </row>
    <row r="15">
      <c r="A15" s="22" t="inlineStr">
        <is>
          <t>물수지 요약 — 무관수(자연강우) 가정, FAO-56 Ch.8</t>
        </is>
      </c>
      <c r="B15" s="9" t="n"/>
      <c r="C15" s="9" t="n"/>
      <c r="D15" s="10" t="n"/>
    </row>
    <row r="16">
      <c r="A16" s="3" t="inlineStr">
        <is>
          <t>기간 총강수 ΣP (mm)</t>
        </is>
      </c>
      <c r="B16" s="23">
        <f>SUM(물수지!F2:F257)</f>
        <v/>
      </c>
    </row>
    <row r="17">
      <c r="A17" s="3" t="inlineStr">
        <is>
          <t>유효강수 (근권 흡수분, mm)</t>
        </is>
      </c>
      <c r="B17" s="23">
        <f>SUM(물수지!F2:F257)-SUM(물수지!H2:H257)</f>
        <v/>
      </c>
    </row>
    <row r="18">
      <c r="A18" s="3" t="inlineStr">
        <is>
          <t>심층침투 ΣDP (mm)</t>
        </is>
      </c>
      <c r="B18" s="23">
        <f>SUM(물수지!H2:H257)</f>
        <v/>
      </c>
    </row>
    <row r="19">
      <c r="A19" s="3" t="inlineStr">
        <is>
          <t>유효강수율 (%)</t>
        </is>
      </c>
      <c r="B19" s="23">
        <f>IFERROR((SUM(물수지!F2:F257)-SUM(물수지!H2:H257))/SUM(물수지!F2:F257)*100,"—")</f>
        <v/>
      </c>
    </row>
    <row r="20">
      <c r="A20" s="3" t="inlineStr">
        <is>
          <t>관수 필요 발생 일수</t>
        </is>
      </c>
      <c r="B20" s="28">
        <f>COUNTIF(물수지!M2:M257,"●")</f>
        <v/>
      </c>
    </row>
    <row r="21">
      <c r="A21" s="3" t="inlineStr">
        <is>
          <t>필요 순관수량 ΣIn (mm)</t>
        </is>
      </c>
      <c r="B21" s="23">
        <f>SUM(물수지!N2:N257)</f>
        <v/>
      </c>
    </row>
    <row r="22">
      <c r="A22" s="3" t="inlineStr">
        <is>
          <t>필요 총관수량 ΣIg (mm)</t>
        </is>
      </c>
      <c r="B22" s="23">
        <f>SUM(물수지!O2:O257)</f>
        <v/>
      </c>
    </row>
    <row r="23">
      <c r="A23" s="3" t="inlineStr">
        <is>
          <t>TAW (mm)</t>
        </is>
      </c>
      <c r="B23" s="23">
        <f>설정!$B$41</f>
        <v/>
      </c>
    </row>
    <row r="24">
      <c r="A24" s="3" t="inlineStr">
        <is>
          <t>RAW (mm)</t>
        </is>
      </c>
      <c r="B24" s="23">
        <f>설정!$B$42</f>
        <v/>
      </c>
    </row>
    <row r="26">
      <c r="A26" s="1" t="inlineStr">
        <is>
          <t>일자</t>
        </is>
      </c>
      <c r="B26" s="1" t="inlineStr">
        <is>
          <t>ETo_PM(mm)</t>
        </is>
      </c>
      <c r="C26" s="1" t="inlineStr">
        <is>
          <t>ETo_pan(mm)</t>
        </is>
      </c>
      <c r="D26" s="1" t="inlineStr">
        <is>
          <t>대형증발량(mm)</t>
        </is>
      </c>
      <c r="E26" s="1" t="inlineStr">
        <is>
          <t>ETc_PM(mm)</t>
        </is>
      </c>
      <c r="F26" s="1" t="inlineStr">
        <is>
          <t>강수(mm)</t>
        </is>
      </c>
      <c r="G26" s="1" t="inlineStr">
        <is>
          <t>Dr(mm)</t>
        </is>
      </c>
      <c r="H26" s="1" t="inlineStr">
        <is>
          <t>Ks</t>
        </is>
      </c>
      <c r="I26" s="1" t="inlineStr">
        <is>
          <t>관수</t>
        </is>
      </c>
    </row>
    <row r="27">
      <c r="A27" s="15">
        <f>계산과정!A2</f>
        <v/>
      </c>
      <c r="B27" s="18">
        <f>계산과정!U2</f>
        <v/>
      </c>
      <c r="C27" s="18">
        <f>계산과정!Z2</f>
        <v/>
      </c>
      <c r="D27" s="17">
        <f>계산과정!Y2</f>
        <v/>
      </c>
      <c r="E27" s="18">
        <f>계산과정!AA2</f>
        <v/>
      </c>
      <c r="F27" s="17">
        <f>물수지!F2</f>
        <v/>
      </c>
      <c r="G27" s="17">
        <f>물수지!L2</f>
        <v/>
      </c>
      <c r="H27" s="18">
        <f>물수지!J2</f>
        <v/>
      </c>
      <c r="I27" s="8">
        <f>물수지!M2</f>
        <v/>
      </c>
    </row>
    <row r="28">
      <c r="A28" s="15">
        <f>계산과정!A3</f>
        <v/>
      </c>
      <c r="B28" s="18">
        <f>계산과정!U3</f>
        <v/>
      </c>
      <c r="C28" s="18">
        <f>계산과정!Z3</f>
        <v/>
      </c>
      <c r="D28" s="17">
        <f>계산과정!Y3</f>
        <v/>
      </c>
      <c r="E28" s="18">
        <f>계산과정!AA3</f>
        <v/>
      </c>
      <c r="F28" s="17">
        <f>물수지!F3</f>
        <v/>
      </c>
      <c r="G28" s="17">
        <f>물수지!L3</f>
        <v/>
      </c>
      <c r="H28" s="18">
        <f>물수지!J3</f>
        <v/>
      </c>
      <c r="I28" s="8">
        <f>물수지!M3</f>
        <v/>
      </c>
    </row>
    <row r="29">
      <c r="A29" s="15">
        <f>계산과정!A4</f>
        <v/>
      </c>
      <c r="B29" s="18">
        <f>계산과정!U4</f>
        <v/>
      </c>
      <c r="C29" s="18">
        <f>계산과정!Z4</f>
        <v/>
      </c>
      <c r="D29" s="17">
        <f>계산과정!Y4</f>
        <v/>
      </c>
      <c r="E29" s="18">
        <f>계산과정!AA4</f>
        <v/>
      </c>
      <c r="F29" s="17">
        <f>물수지!F4</f>
        <v/>
      </c>
      <c r="G29" s="17">
        <f>물수지!L4</f>
        <v/>
      </c>
      <c r="H29" s="18">
        <f>물수지!J4</f>
        <v/>
      </c>
      <c r="I29" s="8">
        <f>물수지!M4</f>
        <v/>
      </c>
    </row>
    <row r="30">
      <c r="A30" s="15">
        <f>계산과정!A5</f>
        <v/>
      </c>
      <c r="B30" s="18">
        <f>계산과정!U5</f>
        <v/>
      </c>
      <c r="C30" s="18">
        <f>계산과정!Z5</f>
        <v/>
      </c>
      <c r="D30" s="17">
        <f>계산과정!Y5</f>
        <v/>
      </c>
      <c r="E30" s="18">
        <f>계산과정!AA5</f>
        <v/>
      </c>
      <c r="F30" s="17">
        <f>물수지!F5</f>
        <v/>
      </c>
      <c r="G30" s="17">
        <f>물수지!L5</f>
        <v/>
      </c>
      <c r="H30" s="18">
        <f>물수지!J5</f>
        <v/>
      </c>
      <c r="I30" s="8">
        <f>물수지!M5</f>
        <v/>
      </c>
    </row>
    <row r="31">
      <c r="A31" s="15">
        <f>계산과정!A6</f>
        <v/>
      </c>
      <c r="B31" s="18">
        <f>계산과정!U6</f>
        <v/>
      </c>
      <c r="C31" s="18">
        <f>계산과정!Z6</f>
        <v/>
      </c>
      <c r="D31" s="17">
        <f>계산과정!Y6</f>
        <v/>
      </c>
      <c r="E31" s="18">
        <f>계산과정!AA6</f>
        <v/>
      </c>
      <c r="F31" s="17">
        <f>물수지!F6</f>
        <v/>
      </c>
      <c r="G31" s="17">
        <f>물수지!L6</f>
        <v/>
      </c>
      <c r="H31" s="18">
        <f>물수지!J6</f>
        <v/>
      </c>
      <c r="I31" s="8">
        <f>물수지!M6</f>
        <v/>
      </c>
    </row>
    <row r="32">
      <c r="A32" s="15">
        <f>계산과정!A7</f>
        <v/>
      </c>
      <c r="B32" s="18">
        <f>계산과정!U7</f>
        <v/>
      </c>
      <c r="C32" s="18">
        <f>계산과정!Z7</f>
        <v/>
      </c>
      <c r="D32" s="17">
        <f>계산과정!Y7</f>
        <v/>
      </c>
      <c r="E32" s="18">
        <f>계산과정!AA7</f>
        <v/>
      </c>
      <c r="F32" s="17">
        <f>물수지!F7</f>
        <v/>
      </c>
      <c r="G32" s="17">
        <f>물수지!L7</f>
        <v/>
      </c>
      <c r="H32" s="18">
        <f>물수지!J7</f>
        <v/>
      </c>
      <c r="I32" s="8">
        <f>물수지!M7</f>
        <v/>
      </c>
    </row>
    <row r="33">
      <c r="A33" s="15">
        <f>계산과정!A8</f>
        <v/>
      </c>
      <c r="B33" s="18">
        <f>계산과정!U8</f>
        <v/>
      </c>
      <c r="C33" s="18">
        <f>계산과정!Z8</f>
        <v/>
      </c>
      <c r="D33" s="17">
        <f>계산과정!Y8</f>
        <v/>
      </c>
      <c r="E33" s="18">
        <f>계산과정!AA8</f>
        <v/>
      </c>
      <c r="F33" s="17">
        <f>물수지!F8</f>
        <v/>
      </c>
      <c r="G33" s="17">
        <f>물수지!L8</f>
        <v/>
      </c>
      <c r="H33" s="18">
        <f>물수지!J8</f>
        <v/>
      </c>
      <c r="I33" s="8">
        <f>물수지!M8</f>
        <v/>
      </c>
    </row>
    <row r="34">
      <c r="A34" s="15">
        <f>계산과정!A9</f>
        <v/>
      </c>
      <c r="B34" s="18">
        <f>계산과정!U9</f>
        <v/>
      </c>
      <c r="C34" s="18">
        <f>계산과정!Z9</f>
        <v/>
      </c>
      <c r="D34" s="17">
        <f>계산과정!Y9</f>
        <v/>
      </c>
      <c r="E34" s="18">
        <f>계산과정!AA9</f>
        <v/>
      </c>
      <c r="F34" s="17">
        <f>물수지!F9</f>
        <v/>
      </c>
      <c r="G34" s="17">
        <f>물수지!L9</f>
        <v/>
      </c>
      <c r="H34" s="18">
        <f>물수지!J9</f>
        <v/>
      </c>
      <c r="I34" s="8">
        <f>물수지!M9</f>
        <v/>
      </c>
    </row>
    <row r="35">
      <c r="A35" s="15">
        <f>계산과정!A10</f>
        <v/>
      </c>
      <c r="B35" s="18">
        <f>계산과정!U10</f>
        <v/>
      </c>
      <c r="C35" s="18">
        <f>계산과정!Z10</f>
        <v/>
      </c>
      <c r="D35" s="17">
        <f>계산과정!Y10</f>
        <v/>
      </c>
      <c r="E35" s="18">
        <f>계산과정!AA10</f>
        <v/>
      </c>
      <c r="F35" s="17">
        <f>물수지!F10</f>
        <v/>
      </c>
      <c r="G35" s="17">
        <f>물수지!L10</f>
        <v/>
      </c>
      <c r="H35" s="18">
        <f>물수지!J10</f>
        <v/>
      </c>
      <c r="I35" s="8">
        <f>물수지!M10</f>
        <v/>
      </c>
    </row>
    <row r="36">
      <c r="A36" s="15">
        <f>계산과정!A11</f>
        <v/>
      </c>
      <c r="B36" s="18">
        <f>계산과정!U11</f>
        <v/>
      </c>
      <c r="C36" s="18">
        <f>계산과정!Z11</f>
        <v/>
      </c>
      <c r="D36" s="17">
        <f>계산과정!Y11</f>
        <v/>
      </c>
      <c r="E36" s="18">
        <f>계산과정!AA11</f>
        <v/>
      </c>
      <c r="F36" s="17">
        <f>물수지!F11</f>
        <v/>
      </c>
      <c r="G36" s="17">
        <f>물수지!L11</f>
        <v/>
      </c>
      <c r="H36" s="18">
        <f>물수지!J11</f>
        <v/>
      </c>
      <c r="I36" s="8">
        <f>물수지!M11</f>
        <v/>
      </c>
    </row>
    <row r="37">
      <c r="A37" s="15">
        <f>계산과정!A12</f>
        <v/>
      </c>
      <c r="B37" s="18">
        <f>계산과정!U12</f>
        <v/>
      </c>
      <c r="C37" s="18">
        <f>계산과정!Z12</f>
        <v/>
      </c>
      <c r="D37" s="17">
        <f>계산과정!Y12</f>
        <v/>
      </c>
      <c r="E37" s="18">
        <f>계산과정!AA12</f>
        <v/>
      </c>
      <c r="F37" s="17">
        <f>물수지!F12</f>
        <v/>
      </c>
      <c r="G37" s="17">
        <f>물수지!L12</f>
        <v/>
      </c>
      <c r="H37" s="18">
        <f>물수지!J12</f>
        <v/>
      </c>
      <c r="I37" s="8">
        <f>물수지!M12</f>
        <v/>
      </c>
    </row>
    <row r="38">
      <c r="A38" s="15">
        <f>계산과정!A13</f>
        <v/>
      </c>
      <c r="B38" s="18">
        <f>계산과정!U13</f>
        <v/>
      </c>
      <c r="C38" s="18">
        <f>계산과정!Z13</f>
        <v/>
      </c>
      <c r="D38" s="17">
        <f>계산과정!Y13</f>
        <v/>
      </c>
      <c r="E38" s="18">
        <f>계산과정!AA13</f>
        <v/>
      </c>
      <c r="F38" s="17">
        <f>물수지!F13</f>
        <v/>
      </c>
      <c r="G38" s="17">
        <f>물수지!L13</f>
        <v/>
      </c>
      <c r="H38" s="18">
        <f>물수지!J13</f>
        <v/>
      </c>
      <c r="I38" s="8">
        <f>물수지!M13</f>
        <v/>
      </c>
    </row>
    <row r="39">
      <c r="A39" s="15">
        <f>계산과정!A14</f>
        <v/>
      </c>
      <c r="B39" s="18">
        <f>계산과정!U14</f>
        <v/>
      </c>
      <c r="C39" s="18">
        <f>계산과정!Z14</f>
        <v/>
      </c>
      <c r="D39" s="17">
        <f>계산과정!Y14</f>
        <v/>
      </c>
      <c r="E39" s="18">
        <f>계산과정!AA14</f>
        <v/>
      </c>
      <c r="F39" s="17">
        <f>물수지!F14</f>
        <v/>
      </c>
      <c r="G39" s="17">
        <f>물수지!L14</f>
        <v/>
      </c>
      <c r="H39" s="18">
        <f>물수지!J14</f>
        <v/>
      </c>
      <c r="I39" s="8">
        <f>물수지!M14</f>
        <v/>
      </c>
    </row>
    <row r="40">
      <c r="A40" s="15">
        <f>계산과정!A15</f>
        <v/>
      </c>
      <c r="B40" s="18">
        <f>계산과정!U15</f>
        <v/>
      </c>
      <c r="C40" s="18">
        <f>계산과정!Z15</f>
        <v/>
      </c>
      <c r="D40" s="17">
        <f>계산과정!Y15</f>
        <v/>
      </c>
      <c r="E40" s="18">
        <f>계산과정!AA15</f>
        <v/>
      </c>
      <c r="F40" s="17">
        <f>물수지!F15</f>
        <v/>
      </c>
      <c r="G40" s="17">
        <f>물수지!L15</f>
        <v/>
      </c>
      <c r="H40" s="18">
        <f>물수지!J15</f>
        <v/>
      </c>
      <c r="I40" s="8">
        <f>물수지!M15</f>
        <v/>
      </c>
    </row>
    <row r="41">
      <c r="A41" s="15">
        <f>계산과정!A16</f>
        <v/>
      </c>
      <c r="B41" s="18">
        <f>계산과정!U16</f>
        <v/>
      </c>
      <c r="C41" s="18">
        <f>계산과정!Z16</f>
        <v/>
      </c>
      <c r="D41" s="17">
        <f>계산과정!Y16</f>
        <v/>
      </c>
      <c r="E41" s="18">
        <f>계산과정!AA16</f>
        <v/>
      </c>
      <c r="F41" s="17">
        <f>물수지!F16</f>
        <v/>
      </c>
      <c r="G41" s="17">
        <f>물수지!L16</f>
        <v/>
      </c>
      <c r="H41" s="18">
        <f>물수지!J16</f>
        <v/>
      </c>
      <c r="I41" s="8">
        <f>물수지!M16</f>
        <v/>
      </c>
    </row>
    <row r="42">
      <c r="A42" s="15">
        <f>계산과정!A17</f>
        <v/>
      </c>
      <c r="B42" s="18">
        <f>계산과정!U17</f>
        <v/>
      </c>
      <c r="C42" s="18">
        <f>계산과정!Z17</f>
        <v/>
      </c>
      <c r="D42" s="17">
        <f>계산과정!Y17</f>
        <v/>
      </c>
      <c r="E42" s="18">
        <f>계산과정!AA17</f>
        <v/>
      </c>
      <c r="F42" s="17">
        <f>물수지!F17</f>
        <v/>
      </c>
      <c r="G42" s="17">
        <f>물수지!L17</f>
        <v/>
      </c>
      <c r="H42" s="18">
        <f>물수지!J17</f>
        <v/>
      </c>
      <c r="I42" s="8">
        <f>물수지!M17</f>
        <v/>
      </c>
    </row>
    <row r="43">
      <c r="A43" s="15">
        <f>계산과정!A18</f>
        <v/>
      </c>
      <c r="B43" s="18">
        <f>계산과정!U18</f>
        <v/>
      </c>
      <c r="C43" s="18">
        <f>계산과정!Z18</f>
        <v/>
      </c>
      <c r="D43" s="17">
        <f>계산과정!Y18</f>
        <v/>
      </c>
      <c r="E43" s="18">
        <f>계산과정!AA18</f>
        <v/>
      </c>
      <c r="F43" s="17">
        <f>물수지!F18</f>
        <v/>
      </c>
      <c r="G43" s="17">
        <f>물수지!L18</f>
        <v/>
      </c>
      <c r="H43" s="18">
        <f>물수지!J18</f>
        <v/>
      </c>
      <c r="I43" s="8">
        <f>물수지!M18</f>
        <v/>
      </c>
    </row>
    <row r="44">
      <c r="A44" s="15">
        <f>계산과정!A19</f>
        <v/>
      </c>
      <c r="B44" s="18">
        <f>계산과정!U19</f>
        <v/>
      </c>
      <c r="C44" s="18">
        <f>계산과정!Z19</f>
        <v/>
      </c>
      <c r="D44" s="17">
        <f>계산과정!Y19</f>
        <v/>
      </c>
      <c r="E44" s="18">
        <f>계산과정!AA19</f>
        <v/>
      </c>
      <c r="F44" s="17">
        <f>물수지!F19</f>
        <v/>
      </c>
      <c r="G44" s="17">
        <f>물수지!L19</f>
        <v/>
      </c>
      <c r="H44" s="18">
        <f>물수지!J19</f>
        <v/>
      </c>
      <c r="I44" s="8">
        <f>물수지!M19</f>
        <v/>
      </c>
    </row>
    <row r="45">
      <c r="A45" s="15">
        <f>계산과정!A20</f>
        <v/>
      </c>
      <c r="B45" s="18">
        <f>계산과정!U20</f>
        <v/>
      </c>
      <c r="C45" s="18">
        <f>계산과정!Z20</f>
        <v/>
      </c>
      <c r="D45" s="17">
        <f>계산과정!Y20</f>
        <v/>
      </c>
      <c r="E45" s="18">
        <f>계산과정!AA20</f>
        <v/>
      </c>
      <c r="F45" s="17">
        <f>물수지!F20</f>
        <v/>
      </c>
      <c r="G45" s="17">
        <f>물수지!L20</f>
        <v/>
      </c>
      <c r="H45" s="18">
        <f>물수지!J20</f>
        <v/>
      </c>
      <c r="I45" s="8">
        <f>물수지!M20</f>
        <v/>
      </c>
    </row>
    <row r="46">
      <c r="A46" s="15">
        <f>계산과정!A21</f>
        <v/>
      </c>
      <c r="B46" s="18">
        <f>계산과정!U21</f>
        <v/>
      </c>
      <c r="C46" s="18">
        <f>계산과정!Z21</f>
        <v/>
      </c>
      <c r="D46" s="17">
        <f>계산과정!Y21</f>
        <v/>
      </c>
      <c r="E46" s="18">
        <f>계산과정!AA21</f>
        <v/>
      </c>
      <c r="F46" s="17">
        <f>물수지!F21</f>
        <v/>
      </c>
      <c r="G46" s="17">
        <f>물수지!L21</f>
        <v/>
      </c>
      <c r="H46" s="18">
        <f>물수지!J21</f>
        <v/>
      </c>
      <c r="I46" s="8">
        <f>물수지!M21</f>
        <v/>
      </c>
    </row>
    <row r="47">
      <c r="A47" s="15">
        <f>계산과정!A22</f>
        <v/>
      </c>
      <c r="B47" s="18">
        <f>계산과정!U22</f>
        <v/>
      </c>
      <c r="C47" s="18">
        <f>계산과정!Z22</f>
        <v/>
      </c>
      <c r="D47" s="17">
        <f>계산과정!Y22</f>
        <v/>
      </c>
      <c r="E47" s="18">
        <f>계산과정!AA22</f>
        <v/>
      </c>
      <c r="F47" s="17">
        <f>물수지!F22</f>
        <v/>
      </c>
      <c r="G47" s="17">
        <f>물수지!L22</f>
        <v/>
      </c>
      <c r="H47" s="18">
        <f>물수지!J22</f>
        <v/>
      </c>
      <c r="I47" s="8">
        <f>물수지!M22</f>
        <v/>
      </c>
    </row>
    <row r="48">
      <c r="A48" s="15">
        <f>계산과정!A23</f>
        <v/>
      </c>
      <c r="B48" s="18">
        <f>계산과정!U23</f>
        <v/>
      </c>
      <c r="C48" s="18">
        <f>계산과정!Z23</f>
        <v/>
      </c>
      <c r="D48" s="17">
        <f>계산과정!Y23</f>
        <v/>
      </c>
      <c r="E48" s="18">
        <f>계산과정!AA23</f>
        <v/>
      </c>
      <c r="F48" s="17">
        <f>물수지!F23</f>
        <v/>
      </c>
      <c r="G48" s="17">
        <f>물수지!L23</f>
        <v/>
      </c>
      <c r="H48" s="18">
        <f>물수지!J23</f>
        <v/>
      </c>
      <c r="I48" s="8">
        <f>물수지!M23</f>
        <v/>
      </c>
    </row>
    <row r="49">
      <c r="A49" s="15">
        <f>계산과정!A24</f>
        <v/>
      </c>
      <c r="B49" s="18">
        <f>계산과정!U24</f>
        <v/>
      </c>
      <c r="C49" s="18">
        <f>계산과정!Z24</f>
        <v/>
      </c>
      <c r="D49" s="17">
        <f>계산과정!Y24</f>
        <v/>
      </c>
      <c r="E49" s="18">
        <f>계산과정!AA24</f>
        <v/>
      </c>
      <c r="F49" s="17">
        <f>물수지!F24</f>
        <v/>
      </c>
      <c r="G49" s="17">
        <f>물수지!L24</f>
        <v/>
      </c>
      <c r="H49" s="18">
        <f>물수지!J24</f>
        <v/>
      </c>
      <c r="I49" s="8">
        <f>물수지!M24</f>
        <v/>
      </c>
    </row>
    <row r="50">
      <c r="A50" s="15">
        <f>계산과정!A25</f>
        <v/>
      </c>
      <c r="B50" s="18">
        <f>계산과정!U25</f>
        <v/>
      </c>
      <c r="C50" s="18">
        <f>계산과정!Z25</f>
        <v/>
      </c>
      <c r="D50" s="17">
        <f>계산과정!Y25</f>
        <v/>
      </c>
      <c r="E50" s="18">
        <f>계산과정!AA25</f>
        <v/>
      </c>
      <c r="F50" s="17">
        <f>물수지!F25</f>
        <v/>
      </c>
      <c r="G50" s="17">
        <f>물수지!L25</f>
        <v/>
      </c>
      <c r="H50" s="18">
        <f>물수지!J25</f>
        <v/>
      </c>
      <c r="I50" s="8">
        <f>물수지!M25</f>
        <v/>
      </c>
    </row>
    <row r="51">
      <c r="A51" s="15">
        <f>계산과정!A26</f>
        <v/>
      </c>
      <c r="B51" s="18">
        <f>계산과정!U26</f>
        <v/>
      </c>
      <c r="C51" s="18">
        <f>계산과정!Z26</f>
        <v/>
      </c>
      <c r="D51" s="17">
        <f>계산과정!Y26</f>
        <v/>
      </c>
      <c r="E51" s="18">
        <f>계산과정!AA26</f>
        <v/>
      </c>
      <c r="F51" s="17">
        <f>물수지!F26</f>
        <v/>
      </c>
      <c r="G51" s="17">
        <f>물수지!L26</f>
        <v/>
      </c>
      <c r="H51" s="18">
        <f>물수지!J26</f>
        <v/>
      </c>
      <c r="I51" s="8">
        <f>물수지!M26</f>
        <v/>
      </c>
    </row>
    <row r="52">
      <c r="A52" s="15">
        <f>계산과정!A27</f>
        <v/>
      </c>
      <c r="B52" s="18">
        <f>계산과정!U27</f>
        <v/>
      </c>
      <c r="C52" s="18">
        <f>계산과정!Z27</f>
        <v/>
      </c>
      <c r="D52" s="17">
        <f>계산과정!Y27</f>
        <v/>
      </c>
      <c r="E52" s="18">
        <f>계산과정!AA27</f>
        <v/>
      </c>
      <c r="F52" s="17">
        <f>물수지!F27</f>
        <v/>
      </c>
      <c r="G52" s="17">
        <f>물수지!L27</f>
        <v/>
      </c>
      <c r="H52" s="18">
        <f>물수지!J27</f>
        <v/>
      </c>
      <c r="I52" s="8">
        <f>물수지!M27</f>
        <v/>
      </c>
    </row>
    <row r="53">
      <c r="A53" s="15">
        <f>계산과정!A28</f>
        <v/>
      </c>
      <c r="B53" s="18">
        <f>계산과정!U28</f>
        <v/>
      </c>
      <c r="C53" s="18">
        <f>계산과정!Z28</f>
        <v/>
      </c>
      <c r="D53" s="17">
        <f>계산과정!Y28</f>
        <v/>
      </c>
      <c r="E53" s="18">
        <f>계산과정!AA28</f>
        <v/>
      </c>
      <c r="F53" s="17">
        <f>물수지!F28</f>
        <v/>
      </c>
      <c r="G53" s="17">
        <f>물수지!L28</f>
        <v/>
      </c>
      <c r="H53" s="18">
        <f>물수지!J28</f>
        <v/>
      </c>
      <c r="I53" s="8">
        <f>물수지!M28</f>
        <v/>
      </c>
    </row>
    <row r="54">
      <c r="A54" s="15">
        <f>계산과정!A29</f>
        <v/>
      </c>
      <c r="B54" s="18">
        <f>계산과정!U29</f>
        <v/>
      </c>
      <c r="C54" s="18">
        <f>계산과정!Z29</f>
        <v/>
      </c>
      <c r="D54" s="17">
        <f>계산과정!Y29</f>
        <v/>
      </c>
      <c r="E54" s="18">
        <f>계산과정!AA29</f>
        <v/>
      </c>
      <c r="F54" s="17">
        <f>물수지!F29</f>
        <v/>
      </c>
      <c r="G54" s="17">
        <f>물수지!L29</f>
        <v/>
      </c>
      <c r="H54" s="18">
        <f>물수지!J29</f>
        <v/>
      </c>
      <c r="I54" s="8">
        <f>물수지!M29</f>
        <v/>
      </c>
    </row>
    <row r="55">
      <c r="A55" s="15">
        <f>계산과정!A30</f>
        <v/>
      </c>
      <c r="B55" s="18">
        <f>계산과정!U30</f>
        <v/>
      </c>
      <c r="C55" s="18">
        <f>계산과정!Z30</f>
        <v/>
      </c>
      <c r="D55" s="17">
        <f>계산과정!Y30</f>
        <v/>
      </c>
      <c r="E55" s="18">
        <f>계산과정!AA30</f>
        <v/>
      </c>
      <c r="F55" s="17">
        <f>물수지!F30</f>
        <v/>
      </c>
      <c r="G55" s="17">
        <f>물수지!L30</f>
        <v/>
      </c>
      <c r="H55" s="18">
        <f>물수지!J30</f>
        <v/>
      </c>
      <c r="I55" s="8">
        <f>물수지!M30</f>
        <v/>
      </c>
    </row>
    <row r="56">
      <c r="A56" s="15">
        <f>계산과정!A31</f>
        <v/>
      </c>
      <c r="B56" s="18">
        <f>계산과정!U31</f>
        <v/>
      </c>
      <c r="C56" s="18">
        <f>계산과정!Z31</f>
        <v/>
      </c>
      <c r="D56" s="17">
        <f>계산과정!Y31</f>
        <v/>
      </c>
      <c r="E56" s="18">
        <f>계산과정!AA31</f>
        <v/>
      </c>
      <c r="F56" s="17">
        <f>물수지!F31</f>
        <v/>
      </c>
      <c r="G56" s="17">
        <f>물수지!L31</f>
        <v/>
      </c>
      <c r="H56" s="18">
        <f>물수지!J31</f>
        <v/>
      </c>
      <c r="I56" s="8">
        <f>물수지!M31</f>
        <v/>
      </c>
    </row>
    <row r="57">
      <c r="A57" s="15">
        <f>계산과정!A32</f>
        <v/>
      </c>
      <c r="B57" s="18">
        <f>계산과정!U32</f>
        <v/>
      </c>
      <c r="C57" s="18">
        <f>계산과정!Z32</f>
        <v/>
      </c>
      <c r="D57" s="17">
        <f>계산과정!Y32</f>
        <v/>
      </c>
      <c r="E57" s="18">
        <f>계산과정!AA32</f>
        <v/>
      </c>
      <c r="F57" s="17">
        <f>물수지!F32</f>
        <v/>
      </c>
      <c r="G57" s="17">
        <f>물수지!L32</f>
        <v/>
      </c>
      <c r="H57" s="18">
        <f>물수지!J32</f>
        <v/>
      </c>
      <c r="I57" s="8">
        <f>물수지!M32</f>
        <v/>
      </c>
    </row>
    <row r="58">
      <c r="A58" s="15">
        <f>계산과정!A33</f>
        <v/>
      </c>
      <c r="B58" s="18">
        <f>계산과정!U33</f>
        <v/>
      </c>
      <c r="C58" s="18">
        <f>계산과정!Z33</f>
        <v/>
      </c>
      <c r="D58" s="17">
        <f>계산과정!Y33</f>
        <v/>
      </c>
      <c r="E58" s="18">
        <f>계산과정!AA33</f>
        <v/>
      </c>
      <c r="F58" s="17">
        <f>물수지!F33</f>
        <v/>
      </c>
      <c r="G58" s="17">
        <f>물수지!L33</f>
        <v/>
      </c>
      <c r="H58" s="18">
        <f>물수지!J33</f>
        <v/>
      </c>
      <c r="I58" s="8">
        <f>물수지!M33</f>
        <v/>
      </c>
    </row>
    <row r="59">
      <c r="A59" s="15">
        <f>계산과정!A34</f>
        <v/>
      </c>
      <c r="B59" s="18">
        <f>계산과정!U34</f>
        <v/>
      </c>
      <c r="C59" s="18">
        <f>계산과정!Z34</f>
        <v/>
      </c>
      <c r="D59" s="17">
        <f>계산과정!Y34</f>
        <v/>
      </c>
      <c r="E59" s="18">
        <f>계산과정!AA34</f>
        <v/>
      </c>
      <c r="F59" s="17">
        <f>물수지!F34</f>
        <v/>
      </c>
      <c r="G59" s="17">
        <f>물수지!L34</f>
        <v/>
      </c>
      <c r="H59" s="18">
        <f>물수지!J34</f>
        <v/>
      </c>
      <c r="I59" s="8">
        <f>물수지!M34</f>
        <v/>
      </c>
    </row>
    <row r="60">
      <c r="A60" s="15">
        <f>계산과정!A35</f>
        <v/>
      </c>
      <c r="B60" s="18">
        <f>계산과정!U35</f>
        <v/>
      </c>
      <c r="C60" s="18">
        <f>계산과정!Z35</f>
        <v/>
      </c>
      <c r="D60" s="17">
        <f>계산과정!Y35</f>
        <v/>
      </c>
      <c r="E60" s="18">
        <f>계산과정!AA35</f>
        <v/>
      </c>
      <c r="F60" s="17">
        <f>물수지!F35</f>
        <v/>
      </c>
      <c r="G60" s="17">
        <f>물수지!L35</f>
        <v/>
      </c>
      <c r="H60" s="18">
        <f>물수지!J35</f>
        <v/>
      </c>
      <c r="I60" s="8">
        <f>물수지!M35</f>
        <v/>
      </c>
    </row>
    <row r="61">
      <c r="A61" s="15">
        <f>계산과정!A36</f>
        <v/>
      </c>
      <c r="B61" s="18">
        <f>계산과정!U36</f>
        <v/>
      </c>
      <c r="C61" s="18">
        <f>계산과정!Z36</f>
        <v/>
      </c>
      <c r="D61" s="17">
        <f>계산과정!Y36</f>
        <v/>
      </c>
      <c r="E61" s="18">
        <f>계산과정!AA36</f>
        <v/>
      </c>
      <c r="F61" s="17">
        <f>물수지!F36</f>
        <v/>
      </c>
      <c r="G61" s="17">
        <f>물수지!L36</f>
        <v/>
      </c>
      <c r="H61" s="18">
        <f>물수지!J36</f>
        <v/>
      </c>
      <c r="I61" s="8">
        <f>물수지!M36</f>
        <v/>
      </c>
    </row>
    <row r="62">
      <c r="A62" s="15">
        <f>계산과정!A37</f>
        <v/>
      </c>
      <c r="B62" s="18">
        <f>계산과정!U37</f>
        <v/>
      </c>
      <c r="C62" s="18">
        <f>계산과정!Z37</f>
        <v/>
      </c>
      <c r="D62" s="17">
        <f>계산과정!Y37</f>
        <v/>
      </c>
      <c r="E62" s="18">
        <f>계산과정!AA37</f>
        <v/>
      </c>
      <c r="F62" s="17">
        <f>물수지!F37</f>
        <v/>
      </c>
      <c r="G62" s="17">
        <f>물수지!L37</f>
        <v/>
      </c>
      <c r="H62" s="18">
        <f>물수지!J37</f>
        <v/>
      </c>
      <c r="I62" s="8">
        <f>물수지!M37</f>
        <v/>
      </c>
    </row>
    <row r="63">
      <c r="A63" s="15">
        <f>계산과정!A38</f>
        <v/>
      </c>
      <c r="B63" s="18">
        <f>계산과정!U38</f>
        <v/>
      </c>
      <c r="C63" s="18">
        <f>계산과정!Z38</f>
        <v/>
      </c>
      <c r="D63" s="17">
        <f>계산과정!Y38</f>
        <v/>
      </c>
      <c r="E63" s="18">
        <f>계산과정!AA38</f>
        <v/>
      </c>
      <c r="F63" s="17">
        <f>물수지!F38</f>
        <v/>
      </c>
      <c r="G63" s="17">
        <f>물수지!L38</f>
        <v/>
      </c>
      <c r="H63" s="18">
        <f>물수지!J38</f>
        <v/>
      </c>
      <c r="I63" s="8">
        <f>물수지!M38</f>
        <v/>
      </c>
    </row>
    <row r="64">
      <c r="A64" s="15">
        <f>계산과정!A39</f>
        <v/>
      </c>
      <c r="B64" s="18">
        <f>계산과정!U39</f>
        <v/>
      </c>
      <c r="C64" s="18">
        <f>계산과정!Z39</f>
        <v/>
      </c>
      <c r="D64" s="17">
        <f>계산과정!Y39</f>
        <v/>
      </c>
      <c r="E64" s="18">
        <f>계산과정!AA39</f>
        <v/>
      </c>
      <c r="F64" s="17">
        <f>물수지!F39</f>
        <v/>
      </c>
      <c r="G64" s="17">
        <f>물수지!L39</f>
        <v/>
      </c>
      <c r="H64" s="18">
        <f>물수지!J39</f>
        <v/>
      </c>
      <c r="I64" s="8">
        <f>물수지!M39</f>
        <v/>
      </c>
    </row>
    <row r="65">
      <c r="A65" s="15">
        <f>계산과정!A40</f>
        <v/>
      </c>
      <c r="B65" s="18">
        <f>계산과정!U40</f>
        <v/>
      </c>
      <c r="C65" s="18">
        <f>계산과정!Z40</f>
        <v/>
      </c>
      <c r="D65" s="17">
        <f>계산과정!Y40</f>
        <v/>
      </c>
      <c r="E65" s="18">
        <f>계산과정!AA40</f>
        <v/>
      </c>
      <c r="F65" s="17">
        <f>물수지!F40</f>
        <v/>
      </c>
      <c r="G65" s="17">
        <f>물수지!L40</f>
        <v/>
      </c>
      <c r="H65" s="18">
        <f>물수지!J40</f>
        <v/>
      </c>
      <c r="I65" s="8">
        <f>물수지!M40</f>
        <v/>
      </c>
    </row>
    <row r="66">
      <c r="A66" s="15">
        <f>계산과정!A41</f>
        <v/>
      </c>
      <c r="B66" s="18">
        <f>계산과정!U41</f>
        <v/>
      </c>
      <c r="C66" s="18">
        <f>계산과정!Z41</f>
        <v/>
      </c>
      <c r="D66" s="17">
        <f>계산과정!Y41</f>
        <v/>
      </c>
      <c r="E66" s="18">
        <f>계산과정!AA41</f>
        <v/>
      </c>
      <c r="F66" s="17">
        <f>물수지!F41</f>
        <v/>
      </c>
      <c r="G66" s="17">
        <f>물수지!L41</f>
        <v/>
      </c>
      <c r="H66" s="18">
        <f>물수지!J41</f>
        <v/>
      </c>
      <c r="I66" s="8">
        <f>물수지!M41</f>
        <v/>
      </c>
    </row>
    <row r="67">
      <c r="A67" s="15">
        <f>계산과정!A42</f>
        <v/>
      </c>
      <c r="B67" s="18">
        <f>계산과정!U42</f>
        <v/>
      </c>
      <c r="C67" s="18">
        <f>계산과정!Z42</f>
        <v/>
      </c>
      <c r="D67" s="17">
        <f>계산과정!Y42</f>
        <v/>
      </c>
      <c r="E67" s="18">
        <f>계산과정!AA42</f>
        <v/>
      </c>
      <c r="F67" s="17">
        <f>물수지!F42</f>
        <v/>
      </c>
      <c r="G67" s="17">
        <f>물수지!L42</f>
        <v/>
      </c>
      <c r="H67" s="18">
        <f>물수지!J42</f>
        <v/>
      </c>
      <c r="I67" s="8">
        <f>물수지!M42</f>
        <v/>
      </c>
    </row>
    <row r="68">
      <c r="A68" s="15">
        <f>계산과정!A43</f>
        <v/>
      </c>
      <c r="B68" s="18">
        <f>계산과정!U43</f>
        <v/>
      </c>
      <c r="C68" s="18">
        <f>계산과정!Z43</f>
        <v/>
      </c>
      <c r="D68" s="17">
        <f>계산과정!Y43</f>
        <v/>
      </c>
      <c r="E68" s="18">
        <f>계산과정!AA43</f>
        <v/>
      </c>
      <c r="F68" s="17">
        <f>물수지!F43</f>
        <v/>
      </c>
      <c r="G68" s="17">
        <f>물수지!L43</f>
        <v/>
      </c>
      <c r="H68" s="18">
        <f>물수지!J43</f>
        <v/>
      </c>
      <c r="I68" s="8">
        <f>물수지!M43</f>
        <v/>
      </c>
    </row>
    <row r="69">
      <c r="A69" s="15">
        <f>계산과정!A44</f>
        <v/>
      </c>
      <c r="B69" s="18">
        <f>계산과정!U44</f>
        <v/>
      </c>
      <c r="C69" s="18">
        <f>계산과정!Z44</f>
        <v/>
      </c>
      <c r="D69" s="17">
        <f>계산과정!Y44</f>
        <v/>
      </c>
      <c r="E69" s="18">
        <f>계산과정!AA44</f>
        <v/>
      </c>
      <c r="F69" s="17">
        <f>물수지!F44</f>
        <v/>
      </c>
      <c r="G69" s="17">
        <f>물수지!L44</f>
        <v/>
      </c>
      <c r="H69" s="18">
        <f>물수지!J44</f>
        <v/>
      </c>
      <c r="I69" s="8">
        <f>물수지!M44</f>
        <v/>
      </c>
    </row>
    <row r="70">
      <c r="A70" s="15">
        <f>계산과정!A45</f>
        <v/>
      </c>
      <c r="B70" s="18">
        <f>계산과정!U45</f>
        <v/>
      </c>
      <c r="C70" s="18">
        <f>계산과정!Z45</f>
        <v/>
      </c>
      <c r="D70" s="17">
        <f>계산과정!Y45</f>
        <v/>
      </c>
      <c r="E70" s="18">
        <f>계산과정!AA45</f>
        <v/>
      </c>
      <c r="F70" s="17">
        <f>물수지!F45</f>
        <v/>
      </c>
      <c r="G70" s="17">
        <f>물수지!L45</f>
        <v/>
      </c>
      <c r="H70" s="18">
        <f>물수지!J45</f>
        <v/>
      </c>
      <c r="I70" s="8">
        <f>물수지!M45</f>
        <v/>
      </c>
    </row>
    <row r="71">
      <c r="A71" s="15">
        <f>계산과정!A46</f>
        <v/>
      </c>
      <c r="B71" s="18">
        <f>계산과정!U46</f>
        <v/>
      </c>
      <c r="C71" s="18">
        <f>계산과정!Z46</f>
        <v/>
      </c>
      <c r="D71" s="17">
        <f>계산과정!Y46</f>
        <v/>
      </c>
      <c r="E71" s="18">
        <f>계산과정!AA46</f>
        <v/>
      </c>
      <c r="F71" s="17">
        <f>물수지!F46</f>
        <v/>
      </c>
      <c r="G71" s="17">
        <f>물수지!L46</f>
        <v/>
      </c>
      <c r="H71" s="18">
        <f>물수지!J46</f>
        <v/>
      </c>
      <c r="I71" s="8">
        <f>물수지!M46</f>
        <v/>
      </c>
    </row>
    <row r="72">
      <c r="A72" s="15">
        <f>계산과정!A47</f>
        <v/>
      </c>
      <c r="B72" s="18">
        <f>계산과정!U47</f>
        <v/>
      </c>
      <c r="C72" s="18">
        <f>계산과정!Z47</f>
        <v/>
      </c>
      <c r="D72" s="17">
        <f>계산과정!Y47</f>
        <v/>
      </c>
      <c r="E72" s="18">
        <f>계산과정!AA47</f>
        <v/>
      </c>
      <c r="F72" s="17">
        <f>물수지!F47</f>
        <v/>
      </c>
      <c r="G72" s="17">
        <f>물수지!L47</f>
        <v/>
      </c>
      <c r="H72" s="18">
        <f>물수지!J47</f>
        <v/>
      </c>
      <c r="I72" s="8">
        <f>물수지!M47</f>
        <v/>
      </c>
    </row>
    <row r="73">
      <c r="A73" s="15">
        <f>계산과정!A48</f>
        <v/>
      </c>
      <c r="B73" s="18">
        <f>계산과정!U48</f>
        <v/>
      </c>
      <c r="C73" s="18">
        <f>계산과정!Z48</f>
        <v/>
      </c>
      <c r="D73" s="17">
        <f>계산과정!Y48</f>
        <v/>
      </c>
      <c r="E73" s="18">
        <f>계산과정!AA48</f>
        <v/>
      </c>
      <c r="F73" s="17">
        <f>물수지!F48</f>
        <v/>
      </c>
      <c r="G73" s="17">
        <f>물수지!L48</f>
        <v/>
      </c>
      <c r="H73" s="18">
        <f>물수지!J48</f>
        <v/>
      </c>
      <c r="I73" s="8">
        <f>물수지!M48</f>
        <v/>
      </c>
    </row>
    <row r="74">
      <c r="A74" s="15">
        <f>계산과정!A49</f>
        <v/>
      </c>
      <c r="B74" s="18">
        <f>계산과정!U49</f>
        <v/>
      </c>
      <c r="C74" s="18">
        <f>계산과정!Z49</f>
        <v/>
      </c>
      <c r="D74" s="17">
        <f>계산과정!Y49</f>
        <v/>
      </c>
      <c r="E74" s="18">
        <f>계산과정!AA49</f>
        <v/>
      </c>
      <c r="F74" s="17">
        <f>물수지!F49</f>
        <v/>
      </c>
      <c r="G74" s="17">
        <f>물수지!L49</f>
        <v/>
      </c>
      <c r="H74" s="18">
        <f>물수지!J49</f>
        <v/>
      </c>
      <c r="I74" s="8">
        <f>물수지!M49</f>
        <v/>
      </c>
    </row>
    <row r="75">
      <c r="A75" s="15">
        <f>계산과정!A50</f>
        <v/>
      </c>
      <c r="B75" s="18">
        <f>계산과정!U50</f>
        <v/>
      </c>
      <c r="C75" s="18">
        <f>계산과정!Z50</f>
        <v/>
      </c>
      <c r="D75" s="17">
        <f>계산과정!Y50</f>
        <v/>
      </c>
      <c r="E75" s="18">
        <f>계산과정!AA50</f>
        <v/>
      </c>
      <c r="F75" s="17">
        <f>물수지!F50</f>
        <v/>
      </c>
      <c r="G75" s="17">
        <f>물수지!L50</f>
        <v/>
      </c>
      <c r="H75" s="18">
        <f>물수지!J50</f>
        <v/>
      </c>
      <c r="I75" s="8">
        <f>물수지!M50</f>
        <v/>
      </c>
    </row>
    <row r="76">
      <c r="A76" s="15">
        <f>계산과정!A51</f>
        <v/>
      </c>
      <c r="B76" s="18">
        <f>계산과정!U51</f>
        <v/>
      </c>
      <c r="C76" s="18">
        <f>계산과정!Z51</f>
        <v/>
      </c>
      <c r="D76" s="17">
        <f>계산과정!Y51</f>
        <v/>
      </c>
      <c r="E76" s="18">
        <f>계산과정!AA51</f>
        <v/>
      </c>
      <c r="F76" s="17">
        <f>물수지!F51</f>
        <v/>
      </c>
      <c r="G76" s="17">
        <f>물수지!L51</f>
        <v/>
      </c>
      <c r="H76" s="18">
        <f>물수지!J51</f>
        <v/>
      </c>
      <c r="I76" s="8">
        <f>물수지!M51</f>
        <v/>
      </c>
    </row>
    <row r="77">
      <c r="A77" s="15">
        <f>계산과정!A52</f>
        <v/>
      </c>
      <c r="B77" s="18">
        <f>계산과정!U52</f>
        <v/>
      </c>
      <c r="C77" s="18">
        <f>계산과정!Z52</f>
        <v/>
      </c>
      <c r="D77" s="17">
        <f>계산과정!Y52</f>
        <v/>
      </c>
      <c r="E77" s="18">
        <f>계산과정!AA52</f>
        <v/>
      </c>
      <c r="F77" s="17">
        <f>물수지!F52</f>
        <v/>
      </c>
      <c r="G77" s="17">
        <f>물수지!L52</f>
        <v/>
      </c>
      <c r="H77" s="18">
        <f>물수지!J52</f>
        <v/>
      </c>
      <c r="I77" s="8">
        <f>물수지!M52</f>
        <v/>
      </c>
    </row>
    <row r="78">
      <c r="A78" s="15">
        <f>계산과정!A53</f>
        <v/>
      </c>
      <c r="B78" s="18">
        <f>계산과정!U53</f>
        <v/>
      </c>
      <c r="C78" s="18">
        <f>계산과정!Z53</f>
        <v/>
      </c>
      <c r="D78" s="17">
        <f>계산과정!Y53</f>
        <v/>
      </c>
      <c r="E78" s="18">
        <f>계산과정!AA53</f>
        <v/>
      </c>
      <c r="F78" s="17">
        <f>물수지!F53</f>
        <v/>
      </c>
      <c r="G78" s="17">
        <f>물수지!L53</f>
        <v/>
      </c>
      <c r="H78" s="18">
        <f>물수지!J53</f>
        <v/>
      </c>
      <c r="I78" s="8">
        <f>물수지!M53</f>
        <v/>
      </c>
    </row>
    <row r="79">
      <c r="A79" s="15">
        <f>계산과정!A54</f>
        <v/>
      </c>
      <c r="B79" s="18">
        <f>계산과정!U54</f>
        <v/>
      </c>
      <c r="C79" s="18">
        <f>계산과정!Z54</f>
        <v/>
      </c>
      <c r="D79" s="17">
        <f>계산과정!Y54</f>
        <v/>
      </c>
      <c r="E79" s="18">
        <f>계산과정!AA54</f>
        <v/>
      </c>
      <c r="F79" s="17">
        <f>물수지!F54</f>
        <v/>
      </c>
      <c r="G79" s="17">
        <f>물수지!L54</f>
        <v/>
      </c>
      <c r="H79" s="18">
        <f>물수지!J54</f>
        <v/>
      </c>
      <c r="I79" s="8">
        <f>물수지!M54</f>
        <v/>
      </c>
    </row>
    <row r="80">
      <c r="A80" s="15">
        <f>계산과정!A55</f>
        <v/>
      </c>
      <c r="B80" s="18">
        <f>계산과정!U55</f>
        <v/>
      </c>
      <c r="C80" s="18">
        <f>계산과정!Z55</f>
        <v/>
      </c>
      <c r="D80" s="17">
        <f>계산과정!Y55</f>
        <v/>
      </c>
      <c r="E80" s="18">
        <f>계산과정!AA55</f>
        <v/>
      </c>
      <c r="F80" s="17">
        <f>물수지!F55</f>
        <v/>
      </c>
      <c r="G80" s="17">
        <f>물수지!L55</f>
        <v/>
      </c>
      <c r="H80" s="18">
        <f>물수지!J55</f>
        <v/>
      </c>
      <c r="I80" s="8">
        <f>물수지!M55</f>
        <v/>
      </c>
    </row>
    <row r="81">
      <c r="A81" s="15">
        <f>계산과정!A56</f>
        <v/>
      </c>
      <c r="B81" s="18">
        <f>계산과정!U56</f>
        <v/>
      </c>
      <c r="C81" s="18">
        <f>계산과정!Z56</f>
        <v/>
      </c>
      <c r="D81" s="17">
        <f>계산과정!Y56</f>
        <v/>
      </c>
      <c r="E81" s="18">
        <f>계산과정!AA56</f>
        <v/>
      </c>
      <c r="F81" s="17">
        <f>물수지!F56</f>
        <v/>
      </c>
      <c r="G81" s="17">
        <f>물수지!L56</f>
        <v/>
      </c>
      <c r="H81" s="18">
        <f>물수지!J56</f>
        <v/>
      </c>
      <c r="I81" s="8">
        <f>물수지!M56</f>
        <v/>
      </c>
    </row>
    <row r="82">
      <c r="A82" s="15">
        <f>계산과정!A57</f>
        <v/>
      </c>
      <c r="B82" s="18">
        <f>계산과정!U57</f>
        <v/>
      </c>
      <c r="C82" s="18">
        <f>계산과정!Z57</f>
        <v/>
      </c>
      <c r="D82" s="17">
        <f>계산과정!Y57</f>
        <v/>
      </c>
      <c r="E82" s="18">
        <f>계산과정!AA57</f>
        <v/>
      </c>
      <c r="F82" s="17">
        <f>물수지!F57</f>
        <v/>
      </c>
      <c r="G82" s="17">
        <f>물수지!L57</f>
        <v/>
      </c>
      <c r="H82" s="18">
        <f>물수지!J57</f>
        <v/>
      </c>
      <c r="I82" s="8">
        <f>물수지!M57</f>
        <v/>
      </c>
    </row>
    <row r="83">
      <c r="A83" s="15">
        <f>계산과정!A58</f>
        <v/>
      </c>
      <c r="B83" s="18">
        <f>계산과정!U58</f>
        <v/>
      </c>
      <c r="C83" s="18">
        <f>계산과정!Z58</f>
        <v/>
      </c>
      <c r="D83" s="17">
        <f>계산과정!Y58</f>
        <v/>
      </c>
      <c r="E83" s="18">
        <f>계산과정!AA58</f>
        <v/>
      </c>
      <c r="F83" s="17">
        <f>물수지!F58</f>
        <v/>
      </c>
      <c r="G83" s="17">
        <f>물수지!L58</f>
        <v/>
      </c>
      <c r="H83" s="18">
        <f>물수지!J58</f>
        <v/>
      </c>
      <c r="I83" s="8">
        <f>물수지!M58</f>
        <v/>
      </c>
    </row>
    <row r="84">
      <c r="A84" s="15">
        <f>계산과정!A59</f>
        <v/>
      </c>
      <c r="B84" s="18">
        <f>계산과정!U59</f>
        <v/>
      </c>
      <c r="C84" s="18">
        <f>계산과정!Z59</f>
        <v/>
      </c>
      <c r="D84" s="17">
        <f>계산과정!Y59</f>
        <v/>
      </c>
      <c r="E84" s="18">
        <f>계산과정!AA59</f>
        <v/>
      </c>
      <c r="F84" s="17">
        <f>물수지!F59</f>
        <v/>
      </c>
      <c r="G84" s="17">
        <f>물수지!L59</f>
        <v/>
      </c>
      <c r="H84" s="18">
        <f>물수지!J59</f>
        <v/>
      </c>
      <c r="I84" s="8">
        <f>물수지!M59</f>
        <v/>
      </c>
    </row>
    <row r="85">
      <c r="A85" s="15">
        <f>계산과정!A60</f>
        <v/>
      </c>
      <c r="B85" s="18">
        <f>계산과정!U60</f>
        <v/>
      </c>
      <c r="C85" s="18">
        <f>계산과정!Z60</f>
        <v/>
      </c>
      <c r="D85" s="17">
        <f>계산과정!Y60</f>
        <v/>
      </c>
      <c r="E85" s="18">
        <f>계산과정!AA60</f>
        <v/>
      </c>
      <c r="F85" s="17">
        <f>물수지!F60</f>
        <v/>
      </c>
      <c r="G85" s="17">
        <f>물수지!L60</f>
        <v/>
      </c>
      <c r="H85" s="18">
        <f>물수지!J60</f>
        <v/>
      </c>
      <c r="I85" s="8">
        <f>물수지!M60</f>
        <v/>
      </c>
    </row>
    <row r="86">
      <c r="A86" s="15">
        <f>계산과정!A61</f>
        <v/>
      </c>
      <c r="B86" s="18">
        <f>계산과정!U61</f>
        <v/>
      </c>
      <c r="C86" s="18">
        <f>계산과정!Z61</f>
        <v/>
      </c>
      <c r="D86" s="17">
        <f>계산과정!Y61</f>
        <v/>
      </c>
      <c r="E86" s="18">
        <f>계산과정!AA61</f>
        <v/>
      </c>
      <c r="F86" s="17">
        <f>물수지!F61</f>
        <v/>
      </c>
      <c r="G86" s="17">
        <f>물수지!L61</f>
        <v/>
      </c>
      <c r="H86" s="18">
        <f>물수지!J61</f>
        <v/>
      </c>
      <c r="I86" s="8">
        <f>물수지!M61</f>
        <v/>
      </c>
    </row>
    <row r="87">
      <c r="A87" s="15">
        <f>계산과정!A62</f>
        <v/>
      </c>
      <c r="B87" s="18">
        <f>계산과정!U62</f>
        <v/>
      </c>
      <c r="C87" s="18">
        <f>계산과정!Z62</f>
        <v/>
      </c>
      <c r="D87" s="17">
        <f>계산과정!Y62</f>
        <v/>
      </c>
      <c r="E87" s="18">
        <f>계산과정!AA62</f>
        <v/>
      </c>
      <c r="F87" s="17">
        <f>물수지!F62</f>
        <v/>
      </c>
      <c r="G87" s="17">
        <f>물수지!L62</f>
        <v/>
      </c>
      <c r="H87" s="18">
        <f>물수지!J62</f>
        <v/>
      </c>
      <c r="I87" s="8">
        <f>물수지!M62</f>
        <v/>
      </c>
    </row>
    <row r="88">
      <c r="A88" s="15">
        <f>계산과정!A63</f>
        <v/>
      </c>
      <c r="B88" s="18">
        <f>계산과정!U63</f>
        <v/>
      </c>
      <c r="C88" s="18">
        <f>계산과정!Z63</f>
        <v/>
      </c>
      <c r="D88" s="17">
        <f>계산과정!Y63</f>
        <v/>
      </c>
      <c r="E88" s="18">
        <f>계산과정!AA63</f>
        <v/>
      </c>
      <c r="F88" s="17">
        <f>물수지!F63</f>
        <v/>
      </c>
      <c r="G88" s="17">
        <f>물수지!L63</f>
        <v/>
      </c>
      <c r="H88" s="18">
        <f>물수지!J63</f>
        <v/>
      </c>
      <c r="I88" s="8">
        <f>물수지!M63</f>
        <v/>
      </c>
    </row>
    <row r="89">
      <c r="A89" s="15">
        <f>계산과정!A64</f>
        <v/>
      </c>
      <c r="B89" s="18">
        <f>계산과정!U64</f>
        <v/>
      </c>
      <c r="C89" s="18">
        <f>계산과정!Z64</f>
        <v/>
      </c>
      <c r="D89" s="17">
        <f>계산과정!Y64</f>
        <v/>
      </c>
      <c r="E89" s="18">
        <f>계산과정!AA64</f>
        <v/>
      </c>
      <c r="F89" s="17">
        <f>물수지!F64</f>
        <v/>
      </c>
      <c r="G89" s="17">
        <f>물수지!L64</f>
        <v/>
      </c>
      <c r="H89" s="18">
        <f>물수지!J64</f>
        <v/>
      </c>
      <c r="I89" s="8">
        <f>물수지!M64</f>
        <v/>
      </c>
    </row>
    <row r="90">
      <c r="A90" s="15">
        <f>계산과정!A65</f>
        <v/>
      </c>
      <c r="B90" s="18">
        <f>계산과정!U65</f>
        <v/>
      </c>
      <c r="C90" s="18">
        <f>계산과정!Z65</f>
        <v/>
      </c>
      <c r="D90" s="17">
        <f>계산과정!Y65</f>
        <v/>
      </c>
      <c r="E90" s="18">
        <f>계산과정!AA65</f>
        <v/>
      </c>
      <c r="F90" s="17">
        <f>물수지!F65</f>
        <v/>
      </c>
      <c r="G90" s="17">
        <f>물수지!L65</f>
        <v/>
      </c>
      <c r="H90" s="18">
        <f>물수지!J65</f>
        <v/>
      </c>
      <c r="I90" s="8">
        <f>물수지!M65</f>
        <v/>
      </c>
    </row>
    <row r="91">
      <c r="A91" s="15">
        <f>계산과정!A66</f>
        <v/>
      </c>
      <c r="B91" s="18">
        <f>계산과정!U66</f>
        <v/>
      </c>
      <c r="C91" s="18">
        <f>계산과정!Z66</f>
        <v/>
      </c>
      <c r="D91" s="17">
        <f>계산과정!Y66</f>
        <v/>
      </c>
      <c r="E91" s="18">
        <f>계산과정!AA66</f>
        <v/>
      </c>
      <c r="F91" s="17">
        <f>물수지!F66</f>
        <v/>
      </c>
      <c r="G91" s="17">
        <f>물수지!L66</f>
        <v/>
      </c>
      <c r="H91" s="18">
        <f>물수지!J66</f>
        <v/>
      </c>
      <c r="I91" s="8">
        <f>물수지!M66</f>
        <v/>
      </c>
    </row>
    <row r="92">
      <c r="A92" s="15">
        <f>계산과정!A67</f>
        <v/>
      </c>
      <c r="B92" s="18">
        <f>계산과정!U67</f>
        <v/>
      </c>
      <c r="C92" s="18">
        <f>계산과정!Z67</f>
        <v/>
      </c>
      <c r="D92" s="17">
        <f>계산과정!Y67</f>
        <v/>
      </c>
      <c r="E92" s="18">
        <f>계산과정!AA67</f>
        <v/>
      </c>
      <c r="F92" s="17">
        <f>물수지!F67</f>
        <v/>
      </c>
      <c r="G92" s="17">
        <f>물수지!L67</f>
        <v/>
      </c>
      <c r="H92" s="18">
        <f>물수지!J67</f>
        <v/>
      </c>
      <c r="I92" s="8">
        <f>물수지!M67</f>
        <v/>
      </c>
    </row>
    <row r="93">
      <c r="A93" s="15">
        <f>계산과정!A68</f>
        <v/>
      </c>
      <c r="B93" s="18">
        <f>계산과정!U68</f>
        <v/>
      </c>
      <c r="C93" s="18">
        <f>계산과정!Z68</f>
        <v/>
      </c>
      <c r="D93" s="17">
        <f>계산과정!Y68</f>
        <v/>
      </c>
      <c r="E93" s="18">
        <f>계산과정!AA68</f>
        <v/>
      </c>
      <c r="F93" s="17">
        <f>물수지!F68</f>
        <v/>
      </c>
      <c r="G93" s="17">
        <f>물수지!L68</f>
        <v/>
      </c>
      <c r="H93" s="18">
        <f>물수지!J68</f>
        <v/>
      </c>
      <c r="I93" s="8">
        <f>물수지!M68</f>
        <v/>
      </c>
    </row>
    <row r="94">
      <c r="A94" s="15">
        <f>계산과정!A69</f>
        <v/>
      </c>
      <c r="B94" s="18">
        <f>계산과정!U69</f>
        <v/>
      </c>
      <c r="C94" s="18">
        <f>계산과정!Z69</f>
        <v/>
      </c>
      <c r="D94" s="17">
        <f>계산과정!Y69</f>
        <v/>
      </c>
      <c r="E94" s="18">
        <f>계산과정!AA69</f>
        <v/>
      </c>
      <c r="F94" s="17">
        <f>물수지!F69</f>
        <v/>
      </c>
      <c r="G94" s="17">
        <f>물수지!L69</f>
        <v/>
      </c>
      <c r="H94" s="18">
        <f>물수지!J69</f>
        <v/>
      </c>
      <c r="I94" s="8">
        <f>물수지!M69</f>
        <v/>
      </c>
    </row>
    <row r="95">
      <c r="A95" s="15">
        <f>계산과정!A70</f>
        <v/>
      </c>
      <c r="B95" s="18">
        <f>계산과정!U70</f>
        <v/>
      </c>
      <c r="C95" s="18">
        <f>계산과정!Z70</f>
        <v/>
      </c>
      <c r="D95" s="17">
        <f>계산과정!Y70</f>
        <v/>
      </c>
      <c r="E95" s="18">
        <f>계산과정!AA70</f>
        <v/>
      </c>
      <c r="F95" s="17">
        <f>물수지!F70</f>
        <v/>
      </c>
      <c r="G95" s="17">
        <f>물수지!L70</f>
        <v/>
      </c>
      <c r="H95" s="18">
        <f>물수지!J70</f>
        <v/>
      </c>
      <c r="I95" s="8">
        <f>물수지!M70</f>
        <v/>
      </c>
    </row>
    <row r="96">
      <c r="A96" s="15">
        <f>계산과정!A71</f>
        <v/>
      </c>
      <c r="B96" s="18">
        <f>계산과정!U71</f>
        <v/>
      </c>
      <c r="C96" s="18">
        <f>계산과정!Z71</f>
        <v/>
      </c>
      <c r="D96" s="17">
        <f>계산과정!Y71</f>
        <v/>
      </c>
      <c r="E96" s="18">
        <f>계산과정!AA71</f>
        <v/>
      </c>
      <c r="F96" s="17">
        <f>물수지!F71</f>
        <v/>
      </c>
      <c r="G96" s="17">
        <f>물수지!L71</f>
        <v/>
      </c>
      <c r="H96" s="18">
        <f>물수지!J71</f>
        <v/>
      </c>
      <c r="I96" s="8">
        <f>물수지!M71</f>
        <v/>
      </c>
    </row>
    <row r="97">
      <c r="A97" s="15">
        <f>계산과정!A72</f>
        <v/>
      </c>
      <c r="B97" s="18">
        <f>계산과정!U72</f>
        <v/>
      </c>
      <c r="C97" s="18">
        <f>계산과정!Z72</f>
        <v/>
      </c>
      <c r="D97" s="17">
        <f>계산과정!Y72</f>
        <v/>
      </c>
      <c r="E97" s="18">
        <f>계산과정!AA72</f>
        <v/>
      </c>
      <c r="F97" s="17">
        <f>물수지!F72</f>
        <v/>
      </c>
      <c r="G97" s="17">
        <f>물수지!L72</f>
        <v/>
      </c>
      <c r="H97" s="18">
        <f>물수지!J72</f>
        <v/>
      </c>
      <c r="I97" s="8">
        <f>물수지!M72</f>
        <v/>
      </c>
    </row>
    <row r="98">
      <c r="A98" s="15">
        <f>계산과정!A73</f>
        <v/>
      </c>
      <c r="B98" s="18">
        <f>계산과정!U73</f>
        <v/>
      </c>
      <c r="C98" s="18">
        <f>계산과정!Z73</f>
        <v/>
      </c>
      <c r="D98" s="17">
        <f>계산과정!Y73</f>
        <v/>
      </c>
      <c r="E98" s="18">
        <f>계산과정!AA73</f>
        <v/>
      </c>
      <c r="F98" s="17">
        <f>물수지!F73</f>
        <v/>
      </c>
      <c r="G98" s="17">
        <f>물수지!L73</f>
        <v/>
      </c>
      <c r="H98" s="18">
        <f>물수지!J73</f>
        <v/>
      </c>
      <c r="I98" s="8">
        <f>물수지!M73</f>
        <v/>
      </c>
    </row>
    <row r="99">
      <c r="A99" s="15">
        <f>계산과정!A74</f>
        <v/>
      </c>
      <c r="B99" s="18">
        <f>계산과정!U74</f>
        <v/>
      </c>
      <c r="C99" s="18">
        <f>계산과정!Z74</f>
        <v/>
      </c>
      <c r="D99" s="17">
        <f>계산과정!Y74</f>
        <v/>
      </c>
      <c r="E99" s="18">
        <f>계산과정!AA74</f>
        <v/>
      </c>
      <c r="F99" s="17">
        <f>물수지!F74</f>
        <v/>
      </c>
      <c r="G99" s="17">
        <f>물수지!L74</f>
        <v/>
      </c>
      <c r="H99" s="18">
        <f>물수지!J74</f>
        <v/>
      </c>
      <c r="I99" s="8">
        <f>물수지!M74</f>
        <v/>
      </c>
    </row>
    <row r="100">
      <c r="A100" s="15">
        <f>계산과정!A75</f>
        <v/>
      </c>
      <c r="B100" s="18">
        <f>계산과정!U75</f>
        <v/>
      </c>
      <c r="C100" s="18">
        <f>계산과정!Z75</f>
        <v/>
      </c>
      <c r="D100" s="17">
        <f>계산과정!Y75</f>
        <v/>
      </c>
      <c r="E100" s="18">
        <f>계산과정!AA75</f>
        <v/>
      </c>
      <c r="F100" s="17">
        <f>물수지!F75</f>
        <v/>
      </c>
      <c r="G100" s="17">
        <f>물수지!L75</f>
        <v/>
      </c>
      <c r="H100" s="18">
        <f>물수지!J75</f>
        <v/>
      </c>
      <c r="I100" s="8">
        <f>물수지!M75</f>
        <v/>
      </c>
    </row>
    <row r="101">
      <c r="A101" s="15">
        <f>계산과정!A76</f>
        <v/>
      </c>
      <c r="B101" s="18">
        <f>계산과정!U76</f>
        <v/>
      </c>
      <c r="C101" s="18">
        <f>계산과정!Z76</f>
        <v/>
      </c>
      <c r="D101" s="17">
        <f>계산과정!Y76</f>
        <v/>
      </c>
      <c r="E101" s="18">
        <f>계산과정!AA76</f>
        <v/>
      </c>
      <c r="F101" s="17">
        <f>물수지!F76</f>
        <v/>
      </c>
      <c r="G101" s="17">
        <f>물수지!L76</f>
        <v/>
      </c>
      <c r="H101" s="18">
        <f>물수지!J76</f>
        <v/>
      </c>
      <c r="I101" s="8">
        <f>물수지!M76</f>
        <v/>
      </c>
    </row>
    <row r="102">
      <c r="A102" s="15">
        <f>계산과정!A77</f>
        <v/>
      </c>
      <c r="B102" s="18">
        <f>계산과정!U77</f>
        <v/>
      </c>
      <c r="C102" s="18">
        <f>계산과정!Z77</f>
        <v/>
      </c>
      <c r="D102" s="17">
        <f>계산과정!Y77</f>
        <v/>
      </c>
      <c r="E102" s="18">
        <f>계산과정!AA77</f>
        <v/>
      </c>
      <c r="F102" s="17">
        <f>물수지!F77</f>
        <v/>
      </c>
      <c r="G102" s="17">
        <f>물수지!L77</f>
        <v/>
      </c>
      <c r="H102" s="18">
        <f>물수지!J77</f>
        <v/>
      </c>
      <c r="I102" s="8">
        <f>물수지!M77</f>
        <v/>
      </c>
    </row>
    <row r="103">
      <c r="A103" s="15">
        <f>계산과정!A78</f>
        <v/>
      </c>
      <c r="B103" s="18">
        <f>계산과정!U78</f>
        <v/>
      </c>
      <c r="C103" s="18">
        <f>계산과정!Z78</f>
        <v/>
      </c>
      <c r="D103" s="17">
        <f>계산과정!Y78</f>
        <v/>
      </c>
      <c r="E103" s="18">
        <f>계산과정!AA78</f>
        <v/>
      </c>
      <c r="F103" s="17">
        <f>물수지!F78</f>
        <v/>
      </c>
      <c r="G103" s="17">
        <f>물수지!L78</f>
        <v/>
      </c>
      <c r="H103" s="18">
        <f>물수지!J78</f>
        <v/>
      </c>
      <c r="I103" s="8">
        <f>물수지!M78</f>
        <v/>
      </c>
    </row>
    <row r="104">
      <c r="A104" s="15">
        <f>계산과정!A79</f>
        <v/>
      </c>
      <c r="B104" s="18">
        <f>계산과정!U79</f>
        <v/>
      </c>
      <c r="C104" s="18">
        <f>계산과정!Z79</f>
        <v/>
      </c>
      <c r="D104" s="17">
        <f>계산과정!Y79</f>
        <v/>
      </c>
      <c r="E104" s="18">
        <f>계산과정!AA79</f>
        <v/>
      </c>
      <c r="F104" s="17">
        <f>물수지!F79</f>
        <v/>
      </c>
      <c r="G104" s="17">
        <f>물수지!L79</f>
        <v/>
      </c>
      <c r="H104" s="18">
        <f>물수지!J79</f>
        <v/>
      </c>
      <c r="I104" s="8">
        <f>물수지!M79</f>
        <v/>
      </c>
    </row>
    <row r="105">
      <c r="A105" s="15">
        <f>계산과정!A80</f>
        <v/>
      </c>
      <c r="B105" s="18">
        <f>계산과정!U80</f>
        <v/>
      </c>
      <c r="C105" s="18">
        <f>계산과정!Z80</f>
        <v/>
      </c>
      <c r="D105" s="17">
        <f>계산과정!Y80</f>
        <v/>
      </c>
      <c r="E105" s="18">
        <f>계산과정!AA80</f>
        <v/>
      </c>
      <c r="F105" s="17">
        <f>물수지!F80</f>
        <v/>
      </c>
      <c r="G105" s="17">
        <f>물수지!L80</f>
        <v/>
      </c>
      <c r="H105" s="18">
        <f>물수지!J80</f>
        <v/>
      </c>
      <c r="I105" s="8">
        <f>물수지!M80</f>
        <v/>
      </c>
    </row>
    <row r="106">
      <c r="A106" s="15">
        <f>계산과정!A81</f>
        <v/>
      </c>
      <c r="B106" s="18">
        <f>계산과정!U81</f>
        <v/>
      </c>
      <c r="C106" s="18">
        <f>계산과정!Z81</f>
        <v/>
      </c>
      <c r="D106" s="17">
        <f>계산과정!Y81</f>
        <v/>
      </c>
      <c r="E106" s="18">
        <f>계산과정!AA81</f>
        <v/>
      </c>
      <c r="F106" s="17">
        <f>물수지!F81</f>
        <v/>
      </c>
      <c r="G106" s="17">
        <f>물수지!L81</f>
        <v/>
      </c>
      <c r="H106" s="18">
        <f>물수지!J81</f>
        <v/>
      </c>
      <c r="I106" s="8">
        <f>물수지!M81</f>
        <v/>
      </c>
    </row>
    <row r="107">
      <c r="A107" s="15">
        <f>계산과정!A82</f>
        <v/>
      </c>
      <c r="B107" s="18">
        <f>계산과정!U82</f>
        <v/>
      </c>
      <c r="C107" s="18">
        <f>계산과정!Z82</f>
        <v/>
      </c>
      <c r="D107" s="17">
        <f>계산과정!Y82</f>
        <v/>
      </c>
      <c r="E107" s="18">
        <f>계산과정!AA82</f>
        <v/>
      </c>
      <c r="F107" s="17">
        <f>물수지!F82</f>
        <v/>
      </c>
      <c r="G107" s="17">
        <f>물수지!L82</f>
        <v/>
      </c>
      <c r="H107" s="18">
        <f>물수지!J82</f>
        <v/>
      </c>
      <c r="I107" s="8">
        <f>물수지!M82</f>
        <v/>
      </c>
    </row>
    <row r="108">
      <c r="A108" s="15">
        <f>계산과정!A83</f>
        <v/>
      </c>
      <c r="B108" s="18">
        <f>계산과정!U83</f>
        <v/>
      </c>
      <c r="C108" s="18">
        <f>계산과정!Z83</f>
        <v/>
      </c>
      <c r="D108" s="17">
        <f>계산과정!Y83</f>
        <v/>
      </c>
      <c r="E108" s="18">
        <f>계산과정!AA83</f>
        <v/>
      </c>
      <c r="F108" s="17">
        <f>물수지!F83</f>
        <v/>
      </c>
      <c r="G108" s="17">
        <f>물수지!L83</f>
        <v/>
      </c>
      <c r="H108" s="18">
        <f>물수지!J83</f>
        <v/>
      </c>
      <c r="I108" s="8">
        <f>물수지!M83</f>
        <v/>
      </c>
    </row>
    <row r="109">
      <c r="A109" s="15">
        <f>계산과정!A84</f>
        <v/>
      </c>
      <c r="B109" s="18">
        <f>계산과정!U84</f>
        <v/>
      </c>
      <c r="C109" s="18">
        <f>계산과정!Z84</f>
        <v/>
      </c>
      <c r="D109" s="17">
        <f>계산과정!Y84</f>
        <v/>
      </c>
      <c r="E109" s="18">
        <f>계산과정!AA84</f>
        <v/>
      </c>
      <c r="F109" s="17">
        <f>물수지!F84</f>
        <v/>
      </c>
      <c r="G109" s="17">
        <f>물수지!L84</f>
        <v/>
      </c>
      <c r="H109" s="18">
        <f>물수지!J84</f>
        <v/>
      </c>
      <c r="I109" s="8">
        <f>물수지!M84</f>
        <v/>
      </c>
    </row>
    <row r="110">
      <c r="A110" s="15">
        <f>계산과정!A85</f>
        <v/>
      </c>
      <c r="B110" s="18">
        <f>계산과정!U85</f>
        <v/>
      </c>
      <c r="C110" s="18">
        <f>계산과정!Z85</f>
        <v/>
      </c>
      <c r="D110" s="17">
        <f>계산과정!Y85</f>
        <v/>
      </c>
      <c r="E110" s="18">
        <f>계산과정!AA85</f>
        <v/>
      </c>
      <c r="F110" s="17">
        <f>물수지!F85</f>
        <v/>
      </c>
      <c r="G110" s="17">
        <f>물수지!L85</f>
        <v/>
      </c>
      <c r="H110" s="18">
        <f>물수지!J85</f>
        <v/>
      </c>
      <c r="I110" s="8">
        <f>물수지!M85</f>
        <v/>
      </c>
    </row>
    <row r="111">
      <c r="A111" s="15">
        <f>계산과정!A86</f>
        <v/>
      </c>
      <c r="B111" s="18">
        <f>계산과정!U86</f>
        <v/>
      </c>
      <c r="C111" s="18">
        <f>계산과정!Z86</f>
        <v/>
      </c>
      <c r="D111" s="17">
        <f>계산과정!Y86</f>
        <v/>
      </c>
      <c r="E111" s="18">
        <f>계산과정!AA86</f>
        <v/>
      </c>
      <c r="F111" s="17">
        <f>물수지!F86</f>
        <v/>
      </c>
      <c r="G111" s="17">
        <f>물수지!L86</f>
        <v/>
      </c>
      <c r="H111" s="18">
        <f>물수지!J86</f>
        <v/>
      </c>
      <c r="I111" s="8">
        <f>물수지!M86</f>
        <v/>
      </c>
    </row>
    <row r="112">
      <c r="A112" s="15">
        <f>계산과정!A87</f>
        <v/>
      </c>
      <c r="B112" s="18">
        <f>계산과정!U87</f>
        <v/>
      </c>
      <c r="C112" s="18">
        <f>계산과정!Z87</f>
        <v/>
      </c>
      <c r="D112" s="17">
        <f>계산과정!Y87</f>
        <v/>
      </c>
      <c r="E112" s="18">
        <f>계산과정!AA87</f>
        <v/>
      </c>
      <c r="F112" s="17">
        <f>물수지!F87</f>
        <v/>
      </c>
      <c r="G112" s="17">
        <f>물수지!L87</f>
        <v/>
      </c>
      <c r="H112" s="18">
        <f>물수지!J87</f>
        <v/>
      </c>
      <c r="I112" s="8">
        <f>물수지!M87</f>
        <v/>
      </c>
    </row>
    <row r="113">
      <c r="A113" s="15">
        <f>계산과정!A88</f>
        <v/>
      </c>
      <c r="B113" s="18">
        <f>계산과정!U88</f>
        <v/>
      </c>
      <c r="C113" s="18">
        <f>계산과정!Z88</f>
        <v/>
      </c>
      <c r="D113" s="17">
        <f>계산과정!Y88</f>
        <v/>
      </c>
      <c r="E113" s="18">
        <f>계산과정!AA88</f>
        <v/>
      </c>
      <c r="F113" s="17">
        <f>물수지!F88</f>
        <v/>
      </c>
      <c r="G113" s="17">
        <f>물수지!L88</f>
        <v/>
      </c>
      <c r="H113" s="18">
        <f>물수지!J88</f>
        <v/>
      </c>
      <c r="I113" s="8">
        <f>물수지!M88</f>
        <v/>
      </c>
    </row>
    <row r="114">
      <c r="A114" s="15">
        <f>계산과정!A89</f>
        <v/>
      </c>
      <c r="B114" s="18">
        <f>계산과정!U89</f>
        <v/>
      </c>
      <c r="C114" s="18">
        <f>계산과정!Z89</f>
        <v/>
      </c>
      <c r="D114" s="17">
        <f>계산과정!Y89</f>
        <v/>
      </c>
      <c r="E114" s="18">
        <f>계산과정!AA89</f>
        <v/>
      </c>
      <c r="F114" s="17">
        <f>물수지!F89</f>
        <v/>
      </c>
      <c r="G114" s="17">
        <f>물수지!L89</f>
        <v/>
      </c>
      <c r="H114" s="18">
        <f>물수지!J89</f>
        <v/>
      </c>
      <c r="I114" s="8">
        <f>물수지!M89</f>
        <v/>
      </c>
    </row>
    <row r="115">
      <c r="A115" s="15">
        <f>계산과정!A90</f>
        <v/>
      </c>
      <c r="B115" s="18">
        <f>계산과정!U90</f>
        <v/>
      </c>
      <c r="C115" s="18">
        <f>계산과정!Z90</f>
        <v/>
      </c>
      <c r="D115" s="17">
        <f>계산과정!Y90</f>
        <v/>
      </c>
      <c r="E115" s="18">
        <f>계산과정!AA90</f>
        <v/>
      </c>
      <c r="F115" s="17">
        <f>물수지!F90</f>
        <v/>
      </c>
      <c r="G115" s="17">
        <f>물수지!L90</f>
        <v/>
      </c>
      <c r="H115" s="18">
        <f>물수지!J90</f>
        <v/>
      </c>
      <c r="I115" s="8">
        <f>물수지!M90</f>
        <v/>
      </c>
    </row>
    <row r="116">
      <c r="A116" s="15">
        <f>계산과정!A91</f>
        <v/>
      </c>
      <c r="B116" s="18">
        <f>계산과정!U91</f>
        <v/>
      </c>
      <c r="C116" s="18">
        <f>계산과정!Z91</f>
        <v/>
      </c>
      <c r="D116" s="17">
        <f>계산과정!Y91</f>
        <v/>
      </c>
      <c r="E116" s="18">
        <f>계산과정!AA91</f>
        <v/>
      </c>
      <c r="F116" s="17">
        <f>물수지!F91</f>
        <v/>
      </c>
      <c r="G116" s="17">
        <f>물수지!L91</f>
        <v/>
      </c>
      <c r="H116" s="18">
        <f>물수지!J91</f>
        <v/>
      </c>
      <c r="I116" s="8">
        <f>물수지!M91</f>
        <v/>
      </c>
    </row>
    <row r="117">
      <c r="A117" s="15">
        <f>계산과정!A92</f>
        <v/>
      </c>
      <c r="B117" s="18">
        <f>계산과정!U92</f>
        <v/>
      </c>
      <c r="C117" s="18">
        <f>계산과정!Z92</f>
        <v/>
      </c>
      <c r="D117" s="17">
        <f>계산과정!Y92</f>
        <v/>
      </c>
      <c r="E117" s="18">
        <f>계산과정!AA92</f>
        <v/>
      </c>
      <c r="F117" s="17">
        <f>물수지!F92</f>
        <v/>
      </c>
      <c r="G117" s="17">
        <f>물수지!L92</f>
        <v/>
      </c>
      <c r="H117" s="18">
        <f>물수지!J92</f>
        <v/>
      </c>
      <c r="I117" s="8">
        <f>물수지!M92</f>
        <v/>
      </c>
    </row>
    <row r="118">
      <c r="A118" s="15">
        <f>계산과정!A93</f>
        <v/>
      </c>
      <c r="B118" s="18">
        <f>계산과정!U93</f>
        <v/>
      </c>
      <c r="C118" s="18">
        <f>계산과정!Z93</f>
        <v/>
      </c>
      <c r="D118" s="17">
        <f>계산과정!Y93</f>
        <v/>
      </c>
      <c r="E118" s="18">
        <f>계산과정!AA93</f>
        <v/>
      </c>
      <c r="F118" s="17">
        <f>물수지!F93</f>
        <v/>
      </c>
      <c r="G118" s="17">
        <f>물수지!L93</f>
        <v/>
      </c>
      <c r="H118" s="18">
        <f>물수지!J93</f>
        <v/>
      </c>
      <c r="I118" s="8">
        <f>물수지!M93</f>
        <v/>
      </c>
    </row>
    <row r="119">
      <c r="A119" s="15">
        <f>계산과정!A94</f>
        <v/>
      </c>
      <c r="B119" s="18">
        <f>계산과정!U94</f>
        <v/>
      </c>
      <c r="C119" s="18">
        <f>계산과정!Z94</f>
        <v/>
      </c>
      <c r="D119" s="17">
        <f>계산과정!Y94</f>
        <v/>
      </c>
      <c r="E119" s="18">
        <f>계산과정!AA94</f>
        <v/>
      </c>
      <c r="F119" s="17">
        <f>물수지!F94</f>
        <v/>
      </c>
      <c r="G119" s="17">
        <f>물수지!L94</f>
        <v/>
      </c>
      <c r="H119" s="18">
        <f>물수지!J94</f>
        <v/>
      </c>
      <c r="I119" s="8">
        <f>물수지!M94</f>
        <v/>
      </c>
    </row>
    <row r="120">
      <c r="A120" s="15">
        <f>계산과정!A95</f>
        <v/>
      </c>
      <c r="B120" s="18">
        <f>계산과정!U95</f>
        <v/>
      </c>
      <c r="C120" s="18">
        <f>계산과정!Z95</f>
        <v/>
      </c>
      <c r="D120" s="17">
        <f>계산과정!Y95</f>
        <v/>
      </c>
      <c r="E120" s="18">
        <f>계산과정!AA95</f>
        <v/>
      </c>
      <c r="F120" s="17">
        <f>물수지!F95</f>
        <v/>
      </c>
      <c r="G120" s="17">
        <f>물수지!L95</f>
        <v/>
      </c>
      <c r="H120" s="18">
        <f>물수지!J95</f>
        <v/>
      </c>
      <c r="I120" s="8">
        <f>물수지!M95</f>
        <v/>
      </c>
    </row>
    <row r="121">
      <c r="A121" s="15">
        <f>계산과정!A96</f>
        <v/>
      </c>
      <c r="B121" s="18">
        <f>계산과정!U96</f>
        <v/>
      </c>
      <c r="C121" s="18">
        <f>계산과정!Z96</f>
        <v/>
      </c>
      <c r="D121" s="17">
        <f>계산과정!Y96</f>
        <v/>
      </c>
      <c r="E121" s="18">
        <f>계산과정!AA96</f>
        <v/>
      </c>
      <c r="F121" s="17">
        <f>물수지!F96</f>
        <v/>
      </c>
      <c r="G121" s="17">
        <f>물수지!L96</f>
        <v/>
      </c>
      <c r="H121" s="18">
        <f>물수지!J96</f>
        <v/>
      </c>
      <c r="I121" s="8">
        <f>물수지!M96</f>
        <v/>
      </c>
    </row>
    <row r="122">
      <c r="A122" s="15">
        <f>계산과정!A97</f>
        <v/>
      </c>
      <c r="B122" s="18">
        <f>계산과정!U97</f>
        <v/>
      </c>
      <c r="C122" s="18">
        <f>계산과정!Z97</f>
        <v/>
      </c>
      <c r="D122" s="17">
        <f>계산과정!Y97</f>
        <v/>
      </c>
      <c r="E122" s="18">
        <f>계산과정!AA97</f>
        <v/>
      </c>
      <c r="F122" s="17">
        <f>물수지!F97</f>
        <v/>
      </c>
      <c r="G122" s="17">
        <f>물수지!L97</f>
        <v/>
      </c>
      <c r="H122" s="18">
        <f>물수지!J97</f>
        <v/>
      </c>
      <c r="I122" s="8">
        <f>물수지!M97</f>
        <v/>
      </c>
    </row>
    <row r="123">
      <c r="A123" s="15">
        <f>계산과정!A98</f>
        <v/>
      </c>
      <c r="B123" s="18">
        <f>계산과정!U98</f>
        <v/>
      </c>
      <c r="C123" s="18">
        <f>계산과정!Z98</f>
        <v/>
      </c>
      <c r="D123" s="17">
        <f>계산과정!Y98</f>
        <v/>
      </c>
      <c r="E123" s="18">
        <f>계산과정!AA98</f>
        <v/>
      </c>
      <c r="F123" s="17">
        <f>물수지!F98</f>
        <v/>
      </c>
      <c r="G123" s="17">
        <f>물수지!L98</f>
        <v/>
      </c>
      <c r="H123" s="18">
        <f>물수지!J98</f>
        <v/>
      </c>
      <c r="I123" s="8">
        <f>물수지!M98</f>
        <v/>
      </c>
    </row>
    <row r="124">
      <c r="A124" s="15">
        <f>계산과정!A99</f>
        <v/>
      </c>
      <c r="B124" s="18">
        <f>계산과정!U99</f>
        <v/>
      </c>
      <c r="C124" s="18">
        <f>계산과정!Z99</f>
        <v/>
      </c>
      <c r="D124" s="17">
        <f>계산과정!Y99</f>
        <v/>
      </c>
      <c r="E124" s="18">
        <f>계산과정!AA99</f>
        <v/>
      </c>
      <c r="F124" s="17">
        <f>물수지!F99</f>
        <v/>
      </c>
      <c r="G124" s="17">
        <f>물수지!L99</f>
        <v/>
      </c>
      <c r="H124" s="18">
        <f>물수지!J99</f>
        <v/>
      </c>
      <c r="I124" s="8">
        <f>물수지!M99</f>
        <v/>
      </c>
    </row>
    <row r="125">
      <c r="A125" s="15">
        <f>계산과정!A100</f>
        <v/>
      </c>
      <c r="B125" s="18">
        <f>계산과정!U100</f>
        <v/>
      </c>
      <c r="C125" s="18">
        <f>계산과정!Z100</f>
        <v/>
      </c>
      <c r="D125" s="17">
        <f>계산과정!Y100</f>
        <v/>
      </c>
      <c r="E125" s="18">
        <f>계산과정!AA100</f>
        <v/>
      </c>
      <c r="F125" s="17">
        <f>물수지!F100</f>
        <v/>
      </c>
      <c r="G125" s="17">
        <f>물수지!L100</f>
        <v/>
      </c>
      <c r="H125" s="18">
        <f>물수지!J100</f>
        <v/>
      </c>
      <c r="I125" s="8">
        <f>물수지!M100</f>
        <v/>
      </c>
    </row>
    <row r="126">
      <c r="A126" s="15">
        <f>계산과정!A101</f>
        <v/>
      </c>
      <c r="B126" s="18">
        <f>계산과정!U101</f>
        <v/>
      </c>
      <c r="C126" s="18">
        <f>계산과정!Z101</f>
        <v/>
      </c>
      <c r="D126" s="17">
        <f>계산과정!Y101</f>
        <v/>
      </c>
      <c r="E126" s="18">
        <f>계산과정!AA101</f>
        <v/>
      </c>
      <c r="F126" s="17">
        <f>물수지!F101</f>
        <v/>
      </c>
      <c r="G126" s="17">
        <f>물수지!L101</f>
        <v/>
      </c>
      <c r="H126" s="18">
        <f>물수지!J101</f>
        <v/>
      </c>
      <c r="I126" s="8">
        <f>물수지!M101</f>
        <v/>
      </c>
    </row>
    <row r="127">
      <c r="A127" s="15">
        <f>계산과정!A102</f>
        <v/>
      </c>
      <c r="B127" s="18">
        <f>계산과정!U102</f>
        <v/>
      </c>
      <c r="C127" s="18">
        <f>계산과정!Z102</f>
        <v/>
      </c>
      <c r="D127" s="17">
        <f>계산과정!Y102</f>
        <v/>
      </c>
      <c r="E127" s="18">
        <f>계산과정!AA102</f>
        <v/>
      </c>
      <c r="F127" s="17">
        <f>물수지!F102</f>
        <v/>
      </c>
      <c r="G127" s="17">
        <f>물수지!L102</f>
        <v/>
      </c>
      <c r="H127" s="18">
        <f>물수지!J102</f>
        <v/>
      </c>
      <c r="I127" s="8">
        <f>물수지!M102</f>
        <v/>
      </c>
    </row>
    <row r="128">
      <c r="A128" s="15">
        <f>계산과정!A103</f>
        <v/>
      </c>
      <c r="B128" s="18">
        <f>계산과정!U103</f>
        <v/>
      </c>
      <c r="C128" s="18">
        <f>계산과정!Z103</f>
        <v/>
      </c>
      <c r="D128" s="17">
        <f>계산과정!Y103</f>
        <v/>
      </c>
      <c r="E128" s="18">
        <f>계산과정!AA103</f>
        <v/>
      </c>
      <c r="F128" s="17">
        <f>물수지!F103</f>
        <v/>
      </c>
      <c r="G128" s="17">
        <f>물수지!L103</f>
        <v/>
      </c>
      <c r="H128" s="18">
        <f>물수지!J103</f>
        <v/>
      </c>
      <c r="I128" s="8">
        <f>물수지!M103</f>
        <v/>
      </c>
    </row>
    <row r="129">
      <c r="A129" s="15">
        <f>계산과정!A104</f>
        <v/>
      </c>
      <c r="B129" s="18">
        <f>계산과정!U104</f>
        <v/>
      </c>
      <c r="C129" s="18">
        <f>계산과정!Z104</f>
        <v/>
      </c>
      <c r="D129" s="17">
        <f>계산과정!Y104</f>
        <v/>
      </c>
      <c r="E129" s="18">
        <f>계산과정!AA104</f>
        <v/>
      </c>
      <c r="F129" s="17">
        <f>물수지!F104</f>
        <v/>
      </c>
      <c r="G129" s="17">
        <f>물수지!L104</f>
        <v/>
      </c>
      <c r="H129" s="18">
        <f>물수지!J104</f>
        <v/>
      </c>
      <c r="I129" s="8">
        <f>물수지!M104</f>
        <v/>
      </c>
    </row>
    <row r="130">
      <c r="A130" s="15">
        <f>계산과정!A105</f>
        <v/>
      </c>
      <c r="B130" s="18">
        <f>계산과정!U105</f>
        <v/>
      </c>
      <c r="C130" s="18">
        <f>계산과정!Z105</f>
        <v/>
      </c>
      <c r="D130" s="17">
        <f>계산과정!Y105</f>
        <v/>
      </c>
      <c r="E130" s="18">
        <f>계산과정!AA105</f>
        <v/>
      </c>
      <c r="F130" s="17">
        <f>물수지!F105</f>
        <v/>
      </c>
      <c r="G130" s="17">
        <f>물수지!L105</f>
        <v/>
      </c>
      <c r="H130" s="18">
        <f>물수지!J105</f>
        <v/>
      </c>
      <c r="I130" s="8">
        <f>물수지!M105</f>
        <v/>
      </c>
    </row>
    <row r="131">
      <c r="A131" s="15">
        <f>계산과정!A106</f>
        <v/>
      </c>
      <c r="B131" s="18">
        <f>계산과정!U106</f>
        <v/>
      </c>
      <c r="C131" s="18">
        <f>계산과정!Z106</f>
        <v/>
      </c>
      <c r="D131" s="17">
        <f>계산과정!Y106</f>
        <v/>
      </c>
      <c r="E131" s="18">
        <f>계산과정!AA106</f>
        <v/>
      </c>
      <c r="F131" s="17">
        <f>물수지!F106</f>
        <v/>
      </c>
      <c r="G131" s="17">
        <f>물수지!L106</f>
        <v/>
      </c>
      <c r="H131" s="18">
        <f>물수지!J106</f>
        <v/>
      </c>
      <c r="I131" s="8">
        <f>물수지!M106</f>
        <v/>
      </c>
    </row>
    <row r="132">
      <c r="A132" s="15">
        <f>계산과정!A107</f>
        <v/>
      </c>
      <c r="B132" s="18">
        <f>계산과정!U107</f>
        <v/>
      </c>
      <c r="C132" s="18">
        <f>계산과정!Z107</f>
        <v/>
      </c>
      <c r="D132" s="17">
        <f>계산과정!Y107</f>
        <v/>
      </c>
      <c r="E132" s="18">
        <f>계산과정!AA107</f>
        <v/>
      </c>
      <c r="F132" s="17">
        <f>물수지!F107</f>
        <v/>
      </c>
      <c r="G132" s="17">
        <f>물수지!L107</f>
        <v/>
      </c>
      <c r="H132" s="18">
        <f>물수지!J107</f>
        <v/>
      </c>
      <c r="I132" s="8">
        <f>물수지!M107</f>
        <v/>
      </c>
    </row>
    <row r="133">
      <c r="A133" s="15">
        <f>계산과정!A108</f>
        <v/>
      </c>
      <c r="B133" s="18">
        <f>계산과정!U108</f>
        <v/>
      </c>
      <c r="C133" s="18">
        <f>계산과정!Z108</f>
        <v/>
      </c>
      <c r="D133" s="17">
        <f>계산과정!Y108</f>
        <v/>
      </c>
      <c r="E133" s="18">
        <f>계산과정!AA108</f>
        <v/>
      </c>
      <c r="F133" s="17">
        <f>물수지!F108</f>
        <v/>
      </c>
      <c r="G133" s="17">
        <f>물수지!L108</f>
        <v/>
      </c>
      <c r="H133" s="18">
        <f>물수지!J108</f>
        <v/>
      </c>
      <c r="I133" s="8">
        <f>물수지!M108</f>
        <v/>
      </c>
    </row>
    <row r="134">
      <c r="A134" s="15">
        <f>계산과정!A109</f>
        <v/>
      </c>
      <c r="B134" s="18">
        <f>계산과정!U109</f>
        <v/>
      </c>
      <c r="C134" s="18">
        <f>계산과정!Z109</f>
        <v/>
      </c>
      <c r="D134" s="17">
        <f>계산과정!Y109</f>
        <v/>
      </c>
      <c r="E134" s="18">
        <f>계산과정!AA109</f>
        <v/>
      </c>
      <c r="F134" s="17">
        <f>물수지!F109</f>
        <v/>
      </c>
      <c r="G134" s="17">
        <f>물수지!L109</f>
        <v/>
      </c>
      <c r="H134" s="18">
        <f>물수지!J109</f>
        <v/>
      </c>
      <c r="I134" s="8">
        <f>물수지!M109</f>
        <v/>
      </c>
    </row>
    <row r="135">
      <c r="A135" s="15">
        <f>계산과정!A110</f>
        <v/>
      </c>
      <c r="B135" s="18">
        <f>계산과정!U110</f>
        <v/>
      </c>
      <c r="C135" s="18">
        <f>계산과정!Z110</f>
        <v/>
      </c>
      <c r="D135" s="17">
        <f>계산과정!Y110</f>
        <v/>
      </c>
      <c r="E135" s="18">
        <f>계산과정!AA110</f>
        <v/>
      </c>
      <c r="F135" s="17">
        <f>물수지!F110</f>
        <v/>
      </c>
      <c r="G135" s="17">
        <f>물수지!L110</f>
        <v/>
      </c>
      <c r="H135" s="18">
        <f>물수지!J110</f>
        <v/>
      </c>
      <c r="I135" s="8">
        <f>물수지!M110</f>
        <v/>
      </c>
    </row>
    <row r="136">
      <c r="A136" s="15">
        <f>계산과정!A111</f>
        <v/>
      </c>
      <c r="B136" s="18">
        <f>계산과정!U111</f>
        <v/>
      </c>
      <c r="C136" s="18">
        <f>계산과정!Z111</f>
        <v/>
      </c>
      <c r="D136" s="17">
        <f>계산과정!Y111</f>
        <v/>
      </c>
      <c r="E136" s="18">
        <f>계산과정!AA111</f>
        <v/>
      </c>
      <c r="F136" s="17">
        <f>물수지!F111</f>
        <v/>
      </c>
      <c r="G136" s="17">
        <f>물수지!L111</f>
        <v/>
      </c>
      <c r="H136" s="18">
        <f>물수지!J111</f>
        <v/>
      </c>
      <c r="I136" s="8">
        <f>물수지!M111</f>
        <v/>
      </c>
    </row>
    <row r="137">
      <c r="A137" s="15">
        <f>계산과정!A112</f>
        <v/>
      </c>
      <c r="B137" s="18">
        <f>계산과정!U112</f>
        <v/>
      </c>
      <c r="C137" s="18">
        <f>계산과정!Z112</f>
        <v/>
      </c>
      <c r="D137" s="17">
        <f>계산과정!Y112</f>
        <v/>
      </c>
      <c r="E137" s="18">
        <f>계산과정!AA112</f>
        <v/>
      </c>
      <c r="F137" s="17">
        <f>물수지!F112</f>
        <v/>
      </c>
      <c r="G137" s="17">
        <f>물수지!L112</f>
        <v/>
      </c>
      <c r="H137" s="18">
        <f>물수지!J112</f>
        <v/>
      </c>
      <c r="I137" s="8">
        <f>물수지!M112</f>
        <v/>
      </c>
    </row>
    <row r="138">
      <c r="A138" s="15">
        <f>계산과정!A113</f>
        <v/>
      </c>
      <c r="B138" s="18">
        <f>계산과정!U113</f>
        <v/>
      </c>
      <c r="C138" s="18">
        <f>계산과정!Z113</f>
        <v/>
      </c>
      <c r="D138" s="17">
        <f>계산과정!Y113</f>
        <v/>
      </c>
      <c r="E138" s="18">
        <f>계산과정!AA113</f>
        <v/>
      </c>
      <c r="F138" s="17">
        <f>물수지!F113</f>
        <v/>
      </c>
      <c r="G138" s="17">
        <f>물수지!L113</f>
        <v/>
      </c>
      <c r="H138" s="18">
        <f>물수지!J113</f>
        <v/>
      </c>
      <c r="I138" s="8">
        <f>물수지!M113</f>
        <v/>
      </c>
    </row>
    <row r="139">
      <c r="A139" s="15">
        <f>계산과정!A114</f>
        <v/>
      </c>
      <c r="B139" s="18">
        <f>계산과정!U114</f>
        <v/>
      </c>
      <c r="C139" s="18">
        <f>계산과정!Z114</f>
        <v/>
      </c>
      <c r="D139" s="17">
        <f>계산과정!Y114</f>
        <v/>
      </c>
      <c r="E139" s="18">
        <f>계산과정!AA114</f>
        <v/>
      </c>
      <c r="F139" s="17">
        <f>물수지!F114</f>
        <v/>
      </c>
      <c r="G139" s="17">
        <f>물수지!L114</f>
        <v/>
      </c>
      <c r="H139" s="18">
        <f>물수지!J114</f>
        <v/>
      </c>
      <c r="I139" s="8">
        <f>물수지!M114</f>
        <v/>
      </c>
    </row>
    <row r="140">
      <c r="A140" s="15">
        <f>계산과정!A115</f>
        <v/>
      </c>
      <c r="B140" s="18">
        <f>계산과정!U115</f>
        <v/>
      </c>
      <c r="C140" s="18">
        <f>계산과정!Z115</f>
        <v/>
      </c>
      <c r="D140" s="17">
        <f>계산과정!Y115</f>
        <v/>
      </c>
      <c r="E140" s="18">
        <f>계산과정!AA115</f>
        <v/>
      </c>
      <c r="F140" s="17">
        <f>물수지!F115</f>
        <v/>
      </c>
      <c r="G140" s="17">
        <f>물수지!L115</f>
        <v/>
      </c>
      <c r="H140" s="18">
        <f>물수지!J115</f>
        <v/>
      </c>
      <c r="I140" s="8">
        <f>물수지!M115</f>
        <v/>
      </c>
    </row>
    <row r="141">
      <c r="A141" s="15">
        <f>계산과정!A116</f>
        <v/>
      </c>
      <c r="B141" s="18">
        <f>계산과정!U116</f>
        <v/>
      </c>
      <c r="C141" s="18">
        <f>계산과정!Z116</f>
        <v/>
      </c>
      <c r="D141" s="17">
        <f>계산과정!Y116</f>
        <v/>
      </c>
      <c r="E141" s="18">
        <f>계산과정!AA116</f>
        <v/>
      </c>
      <c r="F141" s="17">
        <f>물수지!F116</f>
        <v/>
      </c>
      <c r="G141" s="17">
        <f>물수지!L116</f>
        <v/>
      </c>
      <c r="H141" s="18">
        <f>물수지!J116</f>
        <v/>
      </c>
      <c r="I141" s="8">
        <f>물수지!M116</f>
        <v/>
      </c>
    </row>
    <row r="142">
      <c r="A142" s="15">
        <f>계산과정!A117</f>
        <v/>
      </c>
      <c r="B142" s="18">
        <f>계산과정!U117</f>
        <v/>
      </c>
      <c r="C142" s="18">
        <f>계산과정!Z117</f>
        <v/>
      </c>
      <c r="D142" s="17">
        <f>계산과정!Y117</f>
        <v/>
      </c>
      <c r="E142" s="18">
        <f>계산과정!AA117</f>
        <v/>
      </c>
      <c r="F142" s="17">
        <f>물수지!F117</f>
        <v/>
      </c>
      <c r="G142" s="17">
        <f>물수지!L117</f>
        <v/>
      </c>
      <c r="H142" s="18">
        <f>물수지!J117</f>
        <v/>
      </c>
      <c r="I142" s="8">
        <f>물수지!M117</f>
        <v/>
      </c>
    </row>
    <row r="143">
      <c r="A143" s="15">
        <f>계산과정!A118</f>
        <v/>
      </c>
      <c r="B143" s="18">
        <f>계산과정!U118</f>
        <v/>
      </c>
      <c r="C143" s="18">
        <f>계산과정!Z118</f>
        <v/>
      </c>
      <c r="D143" s="17">
        <f>계산과정!Y118</f>
        <v/>
      </c>
      <c r="E143" s="18">
        <f>계산과정!AA118</f>
        <v/>
      </c>
      <c r="F143" s="17">
        <f>물수지!F118</f>
        <v/>
      </c>
      <c r="G143" s="17">
        <f>물수지!L118</f>
        <v/>
      </c>
      <c r="H143" s="18">
        <f>물수지!J118</f>
        <v/>
      </c>
      <c r="I143" s="8">
        <f>물수지!M118</f>
        <v/>
      </c>
    </row>
    <row r="144">
      <c r="A144" s="15">
        <f>계산과정!A119</f>
        <v/>
      </c>
      <c r="B144" s="18">
        <f>계산과정!U119</f>
        <v/>
      </c>
      <c r="C144" s="18">
        <f>계산과정!Z119</f>
        <v/>
      </c>
      <c r="D144" s="17">
        <f>계산과정!Y119</f>
        <v/>
      </c>
      <c r="E144" s="18">
        <f>계산과정!AA119</f>
        <v/>
      </c>
      <c r="F144" s="17">
        <f>물수지!F119</f>
        <v/>
      </c>
      <c r="G144" s="17">
        <f>물수지!L119</f>
        <v/>
      </c>
      <c r="H144" s="18">
        <f>물수지!J119</f>
        <v/>
      </c>
      <c r="I144" s="8">
        <f>물수지!M119</f>
        <v/>
      </c>
    </row>
    <row r="145">
      <c r="A145" s="15">
        <f>계산과정!A120</f>
        <v/>
      </c>
      <c r="B145" s="18">
        <f>계산과정!U120</f>
        <v/>
      </c>
      <c r="C145" s="18">
        <f>계산과정!Z120</f>
        <v/>
      </c>
      <c r="D145" s="17">
        <f>계산과정!Y120</f>
        <v/>
      </c>
      <c r="E145" s="18">
        <f>계산과정!AA120</f>
        <v/>
      </c>
      <c r="F145" s="17">
        <f>물수지!F120</f>
        <v/>
      </c>
      <c r="G145" s="17">
        <f>물수지!L120</f>
        <v/>
      </c>
      <c r="H145" s="18">
        <f>물수지!J120</f>
        <v/>
      </c>
      <c r="I145" s="8">
        <f>물수지!M120</f>
        <v/>
      </c>
    </row>
    <row r="146">
      <c r="A146" s="15">
        <f>계산과정!A121</f>
        <v/>
      </c>
      <c r="B146" s="18">
        <f>계산과정!U121</f>
        <v/>
      </c>
      <c r="C146" s="18">
        <f>계산과정!Z121</f>
        <v/>
      </c>
      <c r="D146" s="17">
        <f>계산과정!Y121</f>
        <v/>
      </c>
      <c r="E146" s="18">
        <f>계산과정!AA121</f>
        <v/>
      </c>
      <c r="F146" s="17">
        <f>물수지!F121</f>
        <v/>
      </c>
      <c r="G146" s="17">
        <f>물수지!L121</f>
        <v/>
      </c>
      <c r="H146" s="18">
        <f>물수지!J121</f>
        <v/>
      </c>
      <c r="I146" s="8">
        <f>물수지!M121</f>
        <v/>
      </c>
    </row>
    <row r="147">
      <c r="A147" s="15">
        <f>계산과정!A122</f>
        <v/>
      </c>
      <c r="B147" s="18">
        <f>계산과정!U122</f>
        <v/>
      </c>
      <c r="C147" s="18">
        <f>계산과정!Z122</f>
        <v/>
      </c>
      <c r="D147" s="17">
        <f>계산과정!Y122</f>
        <v/>
      </c>
      <c r="E147" s="18">
        <f>계산과정!AA122</f>
        <v/>
      </c>
      <c r="F147" s="17">
        <f>물수지!F122</f>
        <v/>
      </c>
      <c r="G147" s="17">
        <f>물수지!L122</f>
        <v/>
      </c>
      <c r="H147" s="18">
        <f>물수지!J122</f>
        <v/>
      </c>
      <c r="I147" s="8">
        <f>물수지!M122</f>
        <v/>
      </c>
    </row>
    <row r="148">
      <c r="A148" s="15">
        <f>계산과정!A123</f>
        <v/>
      </c>
      <c r="B148" s="18">
        <f>계산과정!U123</f>
        <v/>
      </c>
      <c r="C148" s="18">
        <f>계산과정!Z123</f>
        <v/>
      </c>
      <c r="D148" s="17">
        <f>계산과정!Y123</f>
        <v/>
      </c>
      <c r="E148" s="18">
        <f>계산과정!AA123</f>
        <v/>
      </c>
      <c r="F148" s="17">
        <f>물수지!F123</f>
        <v/>
      </c>
      <c r="G148" s="17">
        <f>물수지!L123</f>
        <v/>
      </c>
      <c r="H148" s="18">
        <f>물수지!J123</f>
        <v/>
      </c>
      <c r="I148" s="8">
        <f>물수지!M123</f>
        <v/>
      </c>
    </row>
    <row r="149">
      <c r="A149" s="15">
        <f>계산과정!A124</f>
        <v/>
      </c>
      <c r="B149" s="18">
        <f>계산과정!U124</f>
        <v/>
      </c>
      <c r="C149" s="18">
        <f>계산과정!Z124</f>
        <v/>
      </c>
      <c r="D149" s="17">
        <f>계산과정!Y124</f>
        <v/>
      </c>
      <c r="E149" s="18">
        <f>계산과정!AA124</f>
        <v/>
      </c>
      <c r="F149" s="17">
        <f>물수지!F124</f>
        <v/>
      </c>
      <c r="G149" s="17">
        <f>물수지!L124</f>
        <v/>
      </c>
      <c r="H149" s="18">
        <f>물수지!J124</f>
        <v/>
      </c>
      <c r="I149" s="8">
        <f>물수지!M124</f>
        <v/>
      </c>
    </row>
    <row r="150">
      <c r="A150" s="15">
        <f>계산과정!A125</f>
        <v/>
      </c>
      <c r="B150" s="18">
        <f>계산과정!U125</f>
        <v/>
      </c>
      <c r="C150" s="18">
        <f>계산과정!Z125</f>
        <v/>
      </c>
      <c r="D150" s="17">
        <f>계산과정!Y125</f>
        <v/>
      </c>
      <c r="E150" s="18">
        <f>계산과정!AA125</f>
        <v/>
      </c>
      <c r="F150" s="17">
        <f>물수지!F125</f>
        <v/>
      </c>
      <c r="G150" s="17">
        <f>물수지!L125</f>
        <v/>
      </c>
      <c r="H150" s="18">
        <f>물수지!J125</f>
        <v/>
      </c>
      <c r="I150" s="8">
        <f>물수지!M125</f>
        <v/>
      </c>
    </row>
    <row r="151">
      <c r="A151" s="15">
        <f>계산과정!A126</f>
        <v/>
      </c>
      <c r="B151" s="18">
        <f>계산과정!U126</f>
        <v/>
      </c>
      <c r="C151" s="18">
        <f>계산과정!Z126</f>
        <v/>
      </c>
      <c r="D151" s="17">
        <f>계산과정!Y126</f>
        <v/>
      </c>
      <c r="E151" s="18">
        <f>계산과정!AA126</f>
        <v/>
      </c>
      <c r="F151" s="17">
        <f>물수지!F126</f>
        <v/>
      </c>
      <c r="G151" s="17">
        <f>물수지!L126</f>
        <v/>
      </c>
      <c r="H151" s="18">
        <f>물수지!J126</f>
        <v/>
      </c>
      <c r="I151" s="8">
        <f>물수지!M126</f>
        <v/>
      </c>
    </row>
    <row r="152">
      <c r="A152" s="15">
        <f>계산과정!A127</f>
        <v/>
      </c>
      <c r="B152" s="18">
        <f>계산과정!U127</f>
        <v/>
      </c>
      <c r="C152" s="18">
        <f>계산과정!Z127</f>
        <v/>
      </c>
      <c r="D152" s="17">
        <f>계산과정!Y127</f>
        <v/>
      </c>
      <c r="E152" s="18">
        <f>계산과정!AA127</f>
        <v/>
      </c>
      <c r="F152" s="17">
        <f>물수지!F127</f>
        <v/>
      </c>
      <c r="G152" s="17">
        <f>물수지!L127</f>
        <v/>
      </c>
      <c r="H152" s="18">
        <f>물수지!J127</f>
        <v/>
      </c>
      <c r="I152" s="8">
        <f>물수지!M127</f>
        <v/>
      </c>
    </row>
    <row r="153">
      <c r="A153" s="15">
        <f>계산과정!A128</f>
        <v/>
      </c>
      <c r="B153" s="18">
        <f>계산과정!U128</f>
        <v/>
      </c>
      <c r="C153" s="18">
        <f>계산과정!Z128</f>
        <v/>
      </c>
      <c r="D153" s="17">
        <f>계산과정!Y128</f>
        <v/>
      </c>
      <c r="E153" s="18">
        <f>계산과정!AA128</f>
        <v/>
      </c>
      <c r="F153" s="17">
        <f>물수지!F128</f>
        <v/>
      </c>
      <c r="G153" s="17">
        <f>물수지!L128</f>
        <v/>
      </c>
      <c r="H153" s="18">
        <f>물수지!J128</f>
        <v/>
      </c>
      <c r="I153" s="8">
        <f>물수지!M128</f>
        <v/>
      </c>
    </row>
    <row r="154">
      <c r="A154" s="15">
        <f>계산과정!A129</f>
        <v/>
      </c>
      <c r="B154" s="18">
        <f>계산과정!U129</f>
        <v/>
      </c>
      <c r="C154" s="18">
        <f>계산과정!Z129</f>
        <v/>
      </c>
      <c r="D154" s="17">
        <f>계산과정!Y129</f>
        <v/>
      </c>
      <c r="E154" s="18">
        <f>계산과정!AA129</f>
        <v/>
      </c>
      <c r="F154" s="17">
        <f>물수지!F129</f>
        <v/>
      </c>
      <c r="G154" s="17">
        <f>물수지!L129</f>
        <v/>
      </c>
      <c r="H154" s="18">
        <f>물수지!J129</f>
        <v/>
      </c>
      <c r="I154" s="8">
        <f>물수지!M129</f>
        <v/>
      </c>
    </row>
    <row r="155">
      <c r="A155" s="15">
        <f>계산과정!A130</f>
        <v/>
      </c>
      <c r="B155" s="18">
        <f>계산과정!U130</f>
        <v/>
      </c>
      <c r="C155" s="18">
        <f>계산과정!Z130</f>
        <v/>
      </c>
      <c r="D155" s="17">
        <f>계산과정!Y130</f>
        <v/>
      </c>
      <c r="E155" s="18">
        <f>계산과정!AA130</f>
        <v/>
      </c>
      <c r="F155" s="17">
        <f>물수지!F130</f>
        <v/>
      </c>
      <c r="G155" s="17">
        <f>물수지!L130</f>
        <v/>
      </c>
      <c r="H155" s="18">
        <f>물수지!J130</f>
        <v/>
      </c>
      <c r="I155" s="8">
        <f>물수지!M130</f>
        <v/>
      </c>
    </row>
    <row r="156">
      <c r="A156" s="15">
        <f>계산과정!A131</f>
        <v/>
      </c>
      <c r="B156" s="18">
        <f>계산과정!U131</f>
        <v/>
      </c>
      <c r="C156" s="18">
        <f>계산과정!Z131</f>
        <v/>
      </c>
      <c r="D156" s="17">
        <f>계산과정!Y131</f>
        <v/>
      </c>
      <c r="E156" s="18">
        <f>계산과정!AA131</f>
        <v/>
      </c>
      <c r="F156" s="17">
        <f>물수지!F131</f>
        <v/>
      </c>
      <c r="G156" s="17">
        <f>물수지!L131</f>
        <v/>
      </c>
      <c r="H156" s="18">
        <f>물수지!J131</f>
        <v/>
      </c>
      <c r="I156" s="8">
        <f>물수지!M131</f>
        <v/>
      </c>
    </row>
    <row r="157">
      <c r="A157" s="15">
        <f>계산과정!A132</f>
        <v/>
      </c>
      <c r="B157" s="18">
        <f>계산과정!U132</f>
        <v/>
      </c>
      <c r="C157" s="18">
        <f>계산과정!Z132</f>
        <v/>
      </c>
      <c r="D157" s="17">
        <f>계산과정!Y132</f>
        <v/>
      </c>
      <c r="E157" s="18">
        <f>계산과정!AA132</f>
        <v/>
      </c>
      <c r="F157" s="17">
        <f>물수지!F132</f>
        <v/>
      </c>
      <c r="G157" s="17">
        <f>물수지!L132</f>
        <v/>
      </c>
      <c r="H157" s="18">
        <f>물수지!J132</f>
        <v/>
      </c>
      <c r="I157" s="8">
        <f>물수지!M132</f>
        <v/>
      </c>
    </row>
    <row r="158">
      <c r="A158" s="15">
        <f>계산과정!A133</f>
        <v/>
      </c>
      <c r="B158" s="18">
        <f>계산과정!U133</f>
        <v/>
      </c>
      <c r="C158" s="18">
        <f>계산과정!Z133</f>
        <v/>
      </c>
      <c r="D158" s="17">
        <f>계산과정!Y133</f>
        <v/>
      </c>
      <c r="E158" s="18">
        <f>계산과정!AA133</f>
        <v/>
      </c>
      <c r="F158" s="17">
        <f>물수지!F133</f>
        <v/>
      </c>
      <c r="G158" s="17">
        <f>물수지!L133</f>
        <v/>
      </c>
      <c r="H158" s="18">
        <f>물수지!J133</f>
        <v/>
      </c>
      <c r="I158" s="8">
        <f>물수지!M133</f>
        <v/>
      </c>
    </row>
    <row r="159">
      <c r="A159" s="15">
        <f>계산과정!A134</f>
        <v/>
      </c>
      <c r="B159" s="18">
        <f>계산과정!U134</f>
        <v/>
      </c>
      <c r="C159" s="18">
        <f>계산과정!Z134</f>
        <v/>
      </c>
      <c r="D159" s="17">
        <f>계산과정!Y134</f>
        <v/>
      </c>
      <c r="E159" s="18">
        <f>계산과정!AA134</f>
        <v/>
      </c>
      <c r="F159" s="17">
        <f>물수지!F134</f>
        <v/>
      </c>
      <c r="G159" s="17">
        <f>물수지!L134</f>
        <v/>
      </c>
      <c r="H159" s="18">
        <f>물수지!J134</f>
        <v/>
      </c>
      <c r="I159" s="8">
        <f>물수지!M134</f>
        <v/>
      </c>
    </row>
    <row r="160">
      <c r="A160" s="15">
        <f>계산과정!A135</f>
        <v/>
      </c>
      <c r="B160" s="18">
        <f>계산과정!U135</f>
        <v/>
      </c>
      <c r="C160" s="18">
        <f>계산과정!Z135</f>
        <v/>
      </c>
      <c r="D160" s="17">
        <f>계산과정!Y135</f>
        <v/>
      </c>
      <c r="E160" s="18">
        <f>계산과정!AA135</f>
        <v/>
      </c>
      <c r="F160" s="17">
        <f>물수지!F135</f>
        <v/>
      </c>
      <c r="G160" s="17">
        <f>물수지!L135</f>
        <v/>
      </c>
      <c r="H160" s="18">
        <f>물수지!J135</f>
        <v/>
      </c>
      <c r="I160" s="8">
        <f>물수지!M135</f>
        <v/>
      </c>
    </row>
    <row r="161">
      <c r="A161" s="15">
        <f>계산과정!A136</f>
        <v/>
      </c>
      <c r="B161" s="18">
        <f>계산과정!U136</f>
        <v/>
      </c>
      <c r="C161" s="18">
        <f>계산과정!Z136</f>
        <v/>
      </c>
      <c r="D161" s="17">
        <f>계산과정!Y136</f>
        <v/>
      </c>
      <c r="E161" s="18">
        <f>계산과정!AA136</f>
        <v/>
      </c>
      <c r="F161" s="17">
        <f>물수지!F136</f>
        <v/>
      </c>
      <c r="G161" s="17">
        <f>물수지!L136</f>
        <v/>
      </c>
      <c r="H161" s="18">
        <f>물수지!J136</f>
        <v/>
      </c>
      <c r="I161" s="8">
        <f>물수지!M136</f>
        <v/>
      </c>
    </row>
    <row r="162">
      <c r="A162" s="15">
        <f>계산과정!A137</f>
        <v/>
      </c>
      <c r="B162" s="18">
        <f>계산과정!U137</f>
        <v/>
      </c>
      <c r="C162" s="18">
        <f>계산과정!Z137</f>
        <v/>
      </c>
      <c r="D162" s="17">
        <f>계산과정!Y137</f>
        <v/>
      </c>
      <c r="E162" s="18">
        <f>계산과정!AA137</f>
        <v/>
      </c>
      <c r="F162" s="17">
        <f>물수지!F137</f>
        <v/>
      </c>
      <c r="G162" s="17">
        <f>물수지!L137</f>
        <v/>
      </c>
      <c r="H162" s="18">
        <f>물수지!J137</f>
        <v/>
      </c>
      <c r="I162" s="8">
        <f>물수지!M137</f>
        <v/>
      </c>
    </row>
    <row r="163">
      <c r="A163" s="15">
        <f>계산과정!A138</f>
        <v/>
      </c>
      <c r="B163" s="18">
        <f>계산과정!U138</f>
        <v/>
      </c>
      <c r="C163" s="18">
        <f>계산과정!Z138</f>
        <v/>
      </c>
      <c r="D163" s="17">
        <f>계산과정!Y138</f>
        <v/>
      </c>
      <c r="E163" s="18">
        <f>계산과정!AA138</f>
        <v/>
      </c>
      <c r="F163" s="17">
        <f>물수지!F138</f>
        <v/>
      </c>
      <c r="G163" s="17">
        <f>물수지!L138</f>
        <v/>
      </c>
      <c r="H163" s="18">
        <f>물수지!J138</f>
        <v/>
      </c>
      <c r="I163" s="8">
        <f>물수지!M138</f>
        <v/>
      </c>
    </row>
    <row r="164">
      <c r="A164" s="15">
        <f>계산과정!A139</f>
        <v/>
      </c>
      <c r="B164" s="18">
        <f>계산과정!U139</f>
        <v/>
      </c>
      <c r="C164" s="18">
        <f>계산과정!Z139</f>
        <v/>
      </c>
      <c r="D164" s="17">
        <f>계산과정!Y139</f>
        <v/>
      </c>
      <c r="E164" s="18">
        <f>계산과정!AA139</f>
        <v/>
      </c>
      <c r="F164" s="17">
        <f>물수지!F139</f>
        <v/>
      </c>
      <c r="G164" s="17">
        <f>물수지!L139</f>
        <v/>
      </c>
      <c r="H164" s="18">
        <f>물수지!J139</f>
        <v/>
      </c>
      <c r="I164" s="8">
        <f>물수지!M139</f>
        <v/>
      </c>
    </row>
    <row r="165">
      <c r="A165" s="15">
        <f>계산과정!A140</f>
        <v/>
      </c>
      <c r="B165" s="18">
        <f>계산과정!U140</f>
        <v/>
      </c>
      <c r="C165" s="18">
        <f>계산과정!Z140</f>
        <v/>
      </c>
      <c r="D165" s="17">
        <f>계산과정!Y140</f>
        <v/>
      </c>
      <c r="E165" s="18">
        <f>계산과정!AA140</f>
        <v/>
      </c>
      <c r="F165" s="17">
        <f>물수지!F140</f>
        <v/>
      </c>
      <c r="G165" s="17">
        <f>물수지!L140</f>
        <v/>
      </c>
      <c r="H165" s="18">
        <f>물수지!J140</f>
        <v/>
      </c>
      <c r="I165" s="8">
        <f>물수지!M140</f>
        <v/>
      </c>
    </row>
    <row r="166">
      <c r="A166" s="15">
        <f>계산과정!A141</f>
        <v/>
      </c>
      <c r="B166" s="18">
        <f>계산과정!U141</f>
        <v/>
      </c>
      <c r="C166" s="18">
        <f>계산과정!Z141</f>
        <v/>
      </c>
      <c r="D166" s="17">
        <f>계산과정!Y141</f>
        <v/>
      </c>
      <c r="E166" s="18">
        <f>계산과정!AA141</f>
        <v/>
      </c>
      <c r="F166" s="17">
        <f>물수지!F141</f>
        <v/>
      </c>
      <c r="G166" s="17">
        <f>물수지!L141</f>
        <v/>
      </c>
      <c r="H166" s="18">
        <f>물수지!J141</f>
        <v/>
      </c>
      <c r="I166" s="8">
        <f>물수지!M141</f>
        <v/>
      </c>
    </row>
    <row r="167">
      <c r="A167" s="15">
        <f>계산과정!A142</f>
        <v/>
      </c>
      <c r="B167" s="18">
        <f>계산과정!U142</f>
        <v/>
      </c>
      <c r="C167" s="18">
        <f>계산과정!Z142</f>
        <v/>
      </c>
      <c r="D167" s="17">
        <f>계산과정!Y142</f>
        <v/>
      </c>
      <c r="E167" s="18">
        <f>계산과정!AA142</f>
        <v/>
      </c>
      <c r="F167" s="17">
        <f>물수지!F142</f>
        <v/>
      </c>
      <c r="G167" s="17">
        <f>물수지!L142</f>
        <v/>
      </c>
      <c r="H167" s="18">
        <f>물수지!J142</f>
        <v/>
      </c>
      <c r="I167" s="8">
        <f>물수지!M142</f>
        <v/>
      </c>
    </row>
    <row r="168">
      <c r="A168" s="15">
        <f>계산과정!A143</f>
        <v/>
      </c>
      <c r="B168" s="18">
        <f>계산과정!U143</f>
        <v/>
      </c>
      <c r="C168" s="18">
        <f>계산과정!Z143</f>
        <v/>
      </c>
      <c r="D168" s="17">
        <f>계산과정!Y143</f>
        <v/>
      </c>
      <c r="E168" s="18">
        <f>계산과정!AA143</f>
        <v/>
      </c>
      <c r="F168" s="17">
        <f>물수지!F143</f>
        <v/>
      </c>
      <c r="G168" s="17">
        <f>물수지!L143</f>
        <v/>
      </c>
      <c r="H168" s="18">
        <f>물수지!J143</f>
        <v/>
      </c>
      <c r="I168" s="8">
        <f>물수지!M143</f>
        <v/>
      </c>
    </row>
    <row r="169">
      <c r="A169" s="15">
        <f>계산과정!A144</f>
        <v/>
      </c>
      <c r="B169" s="18">
        <f>계산과정!U144</f>
        <v/>
      </c>
      <c r="C169" s="18">
        <f>계산과정!Z144</f>
        <v/>
      </c>
      <c r="D169" s="17">
        <f>계산과정!Y144</f>
        <v/>
      </c>
      <c r="E169" s="18">
        <f>계산과정!AA144</f>
        <v/>
      </c>
      <c r="F169" s="17">
        <f>물수지!F144</f>
        <v/>
      </c>
      <c r="G169" s="17">
        <f>물수지!L144</f>
        <v/>
      </c>
      <c r="H169" s="18">
        <f>물수지!J144</f>
        <v/>
      </c>
      <c r="I169" s="8">
        <f>물수지!M144</f>
        <v/>
      </c>
    </row>
    <row r="170">
      <c r="A170" s="15">
        <f>계산과정!A145</f>
        <v/>
      </c>
      <c r="B170" s="18">
        <f>계산과정!U145</f>
        <v/>
      </c>
      <c r="C170" s="18">
        <f>계산과정!Z145</f>
        <v/>
      </c>
      <c r="D170" s="17">
        <f>계산과정!Y145</f>
        <v/>
      </c>
      <c r="E170" s="18">
        <f>계산과정!AA145</f>
        <v/>
      </c>
      <c r="F170" s="17">
        <f>물수지!F145</f>
        <v/>
      </c>
      <c r="G170" s="17">
        <f>물수지!L145</f>
        <v/>
      </c>
      <c r="H170" s="18">
        <f>물수지!J145</f>
        <v/>
      </c>
      <c r="I170" s="8">
        <f>물수지!M145</f>
        <v/>
      </c>
    </row>
    <row r="171">
      <c r="A171" s="15">
        <f>계산과정!A146</f>
        <v/>
      </c>
      <c r="B171" s="18">
        <f>계산과정!U146</f>
        <v/>
      </c>
      <c r="C171" s="18">
        <f>계산과정!Z146</f>
        <v/>
      </c>
      <c r="D171" s="17">
        <f>계산과정!Y146</f>
        <v/>
      </c>
      <c r="E171" s="18">
        <f>계산과정!AA146</f>
        <v/>
      </c>
      <c r="F171" s="17">
        <f>물수지!F146</f>
        <v/>
      </c>
      <c r="G171" s="17">
        <f>물수지!L146</f>
        <v/>
      </c>
      <c r="H171" s="18">
        <f>물수지!J146</f>
        <v/>
      </c>
      <c r="I171" s="8">
        <f>물수지!M146</f>
        <v/>
      </c>
    </row>
    <row r="172">
      <c r="A172" s="15">
        <f>계산과정!A147</f>
        <v/>
      </c>
      <c r="B172" s="18">
        <f>계산과정!U147</f>
        <v/>
      </c>
      <c r="C172" s="18">
        <f>계산과정!Z147</f>
        <v/>
      </c>
      <c r="D172" s="17">
        <f>계산과정!Y147</f>
        <v/>
      </c>
      <c r="E172" s="18">
        <f>계산과정!AA147</f>
        <v/>
      </c>
      <c r="F172" s="17">
        <f>물수지!F147</f>
        <v/>
      </c>
      <c r="G172" s="17">
        <f>물수지!L147</f>
        <v/>
      </c>
      <c r="H172" s="18">
        <f>물수지!J147</f>
        <v/>
      </c>
      <c r="I172" s="8">
        <f>물수지!M147</f>
        <v/>
      </c>
    </row>
    <row r="173">
      <c r="A173" s="15">
        <f>계산과정!A148</f>
        <v/>
      </c>
      <c r="B173" s="18">
        <f>계산과정!U148</f>
        <v/>
      </c>
      <c r="C173" s="18">
        <f>계산과정!Z148</f>
        <v/>
      </c>
      <c r="D173" s="17">
        <f>계산과정!Y148</f>
        <v/>
      </c>
      <c r="E173" s="18">
        <f>계산과정!AA148</f>
        <v/>
      </c>
      <c r="F173" s="17">
        <f>물수지!F148</f>
        <v/>
      </c>
      <c r="G173" s="17">
        <f>물수지!L148</f>
        <v/>
      </c>
      <c r="H173" s="18">
        <f>물수지!J148</f>
        <v/>
      </c>
      <c r="I173" s="8">
        <f>물수지!M148</f>
        <v/>
      </c>
    </row>
    <row r="174">
      <c r="A174" s="15">
        <f>계산과정!A149</f>
        <v/>
      </c>
      <c r="B174" s="18">
        <f>계산과정!U149</f>
        <v/>
      </c>
      <c r="C174" s="18">
        <f>계산과정!Z149</f>
        <v/>
      </c>
      <c r="D174" s="17">
        <f>계산과정!Y149</f>
        <v/>
      </c>
      <c r="E174" s="18">
        <f>계산과정!AA149</f>
        <v/>
      </c>
      <c r="F174" s="17">
        <f>물수지!F149</f>
        <v/>
      </c>
      <c r="G174" s="17">
        <f>물수지!L149</f>
        <v/>
      </c>
      <c r="H174" s="18">
        <f>물수지!J149</f>
        <v/>
      </c>
      <c r="I174" s="8">
        <f>물수지!M149</f>
        <v/>
      </c>
    </row>
    <row r="175">
      <c r="A175" s="15">
        <f>계산과정!A150</f>
        <v/>
      </c>
      <c r="B175" s="18">
        <f>계산과정!U150</f>
        <v/>
      </c>
      <c r="C175" s="18">
        <f>계산과정!Z150</f>
        <v/>
      </c>
      <c r="D175" s="17">
        <f>계산과정!Y150</f>
        <v/>
      </c>
      <c r="E175" s="18">
        <f>계산과정!AA150</f>
        <v/>
      </c>
      <c r="F175" s="17">
        <f>물수지!F150</f>
        <v/>
      </c>
      <c r="G175" s="17">
        <f>물수지!L150</f>
        <v/>
      </c>
      <c r="H175" s="18">
        <f>물수지!J150</f>
        <v/>
      </c>
      <c r="I175" s="8">
        <f>물수지!M150</f>
        <v/>
      </c>
    </row>
    <row r="176">
      <c r="A176" s="15">
        <f>계산과정!A151</f>
        <v/>
      </c>
      <c r="B176" s="18">
        <f>계산과정!U151</f>
        <v/>
      </c>
      <c r="C176" s="18">
        <f>계산과정!Z151</f>
        <v/>
      </c>
      <c r="D176" s="17">
        <f>계산과정!Y151</f>
        <v/>
      </c>
      <c r="E176" s="18">
        <f>계산과정!AA151</f>
        <v/>
      </c>
      <c r="F176" s="17">
        <f>물수지!F151</f>
        <v/>
      </c>
      <c r="G176" s="17">
        <f>물수지!L151</f>
        <v/>
      </c>
      <c r="H176" s="18">
        <f>물수지!J151</f>
        <v/>
      </c>
      <c r="I176" s="8">
        <f>물수지!M151</f>
        <v/>
      </c>
    </row>
    <row r="177">
      <c r="A177" s="15">
        <f>계산과정!A152</f>
        <v/>
      </c>
      <c r="B177" s="18">
        <f>계산과정!U152</f>
        <v/>
      </c>
      <c r="C177" s="18">
        <f>계산과정!Z152</f>
        <v/>
      </c>
      <c r="D177" s="17">
        <f>계산과정!Y152</f>
        <v/>
      </c>
      <c r="E177" s="18">
        <f>계산과정!AA152</f>
        <v/>
      </c>
      <c r="F177" s="17">
        <f>물수지!F152</f>
        <v/>
      </c>
      <c r="G177" s="17">
        <f>물수지!L152</f>
        <v/>
      </c>
      <c r="H177" s="18">
        <f>물수지!J152</f>
        <v/>
      </c>
      <c r="I177" s="8">
        <f>물수지!M152</f>
        <v/>
      </c>
    </row>
    <row r="178">
      <c r="A178" s="15">
        <f>계산과정!A153</f>
        <v/>
      </c>
      <c r="B178" s="18">
        <f>계산과정!U153</f>
        <v/>
      </c>
      <c r="C178" s="18">
        <f>계산과정!Z153</f>
        <v/>
      </c>
      <c r="D178" s="17">
        <f>계산과정!Y153</f>
        <v/>
      </c>
      <c r="E178" s="18">
        <f>계산과정!AA153</f>
        <v/>
      </c>
      <c r="F178" s="17">
        <f>물수지!F153</f>
        <v/>
      </c>
      <c r="G178" s="17">
        <f>물수지!L153</f>
        <v/>
      </c>
      <c r="H178" s="18">
        <f>물수지!J153</f>
        <v/>
      </c>
      <c r="I178" s="8">
        <f>물수지!M153</f>
        <v/>
      </c>
    </row>
    <row r="179">
      <c r="A179" s="15">
        <f>계산과정!A154</f>
        <v/>
      </c>
      <c r="B179" s="18">
        <f>계산과정!U154</f>
        <v/>
      </c>
      <c r="C179" s="18">
        <f>계산과정!Z154</f>
        <v/>
      </c>
      <c r="D179" s="17">
        <f>계산과정!Y154</f>
        <v/>
      </c>
      <c r="E179" s="18">
        <f>계산과정!AA154</f>
        <v/>
      </c>
      <c r="F179" s="17">
        <f>물수지!F154</f>
        <v/>
      </c>
      <c r="G179" s="17">
        <f>물수지!L154</f>
        <v/>
      </c>
      <c r="H179" s="18">
        <f>물수지!J154</f>
        <v/>
      </c>
      <c r="I179" s="8">
        <f>물수지!M154</f>
        <v/>
      </c>
    </row>
    <row r="180">
      <c r="A180" s="15">
        <f>계산과정!A155</f>
        <v/>
      </c>
      <c r="B180" s="18">
        <f>계산과정!U155</f>
        <v/>
      </c>
      <c r="C180" s="18">
        <f>계산과정!Z155</f>
        <v/>
      </c>
      <c r="D180" s="17">
        <f>계산과정!Y155</f>
        <v/>
      </c>
      <c r="E180" s="18">
        <f>계산과정!AA155</f>
        <v/>
      </c>
      <c r="F180" s="17">
        <f>물수지!F155</f>
        <v/>
      </c>
      <c r="G180" s="17">
        <f>물수지!L155</f>
        <v/>
      </c>
      <c r="H180" s="18">
        <f>물수지!J155</f>
        <v/>
      </c>
      <c r="I180" s="8">
        <f>물수지!M155</f>
        <v/>
      </c>
    </row>
    <row r="181">
      <c r="A181" s="15">
        <f>계산과정!A156</f>
        <v/>
      </c>
      <c r="B181" s="18">
        <f>계산과정!U156</f>
        <v/>
      </c>
      <c r="C181" s="18">
        <f>계산과정!Z156</f>
        <v/>
      </c>
      <c r="D181" s="17">
        <f>계산과정!Y156</f>
        <v/>
      </c>
      <c r="E181" s="18">
        <f>계산과정!AA156</f>
        <v/>
      </c>
      <c r="F181" s="17">
        <f>물수지!F156</f>
        <v/>
      </c>
      <c r="G181" s="17">
        <f>물수지!L156</f>
        <v/>
      </c>
      <c r="H181" s="18">
        <f>물수지!J156</f>
        <v/>
      </c>
      <c r="I181" s="8">
        <f>물수지!M156</f>
        <v/>
      </c>
    </row>
    <row r="182">
      <c r="A182" s="15">
        <f>계산과정!A157</f>
        <v/>
      </c>
      <c r="B182" s="18">
        <f>계산과정!U157</f>
        <v/>
      </c>
      <c r="C182" s="18">
        <f>계산과정!Z157</f>
        <v/>
      </c>
      <c r="D182" s="17">
        <f>계산과정!Y157</f>
        <v/>
      </c>
      <c r="E182" s="18">
        <f>계산과정!AA157</f>
        <v/>
      </c>
      <c r="F182" s="17">
        <f>물수지!F157</f>
        <v/>
      </c>
      <c r="G182" s="17">
        <f>물수지!L157</f>
        <v/>
      </c>
      <c r="H182" s="18">
        <f>물수지!J157</f>
        <v/>
      </c>
      <c r="I182" s="8">
        <f>물수지!M157</f>
        <v/>
      </c>
    </row>
    <row r="183">
      <c r="A183" s="15">
        <f>계산과정!A158</f>
        <v/>
      </c>
      <c r="B183" s="18">
        <f>계산과정!U158</f>
        <v/>
      </c>
      <c r="C183" s="18">
        <f>계산과정!Z158</f>
        <v/>
      </c>
      <c r="D183" s="17">
        <f>계산과정!Y158</f>
        <v/>
      </c>
      <c r="E183" s="18">
        <f>계산과정!AA158</f>
        <v/>
      </c>
      <c r="F183" s="17">
        <f>물수지!F158</f>
        <v/>
      </c>
      <c r="G183" s="17">
        <f>물수지!L158</f>
        <v/>
      </c>
      <c r="H183" s="18">
        <f>물수지!J158</f>
        <v/>
      </c>
      <c r="I183" s="8">
        <f>물수지!M158</f>
        <v/>
      </c>
    </row>
    <row r="184">
      <c r="A184" s="15">
        <f>계산과정!A159</f>
        <v/>
      </c>
      <c r="B184" s="18">
        <f>계산과정!U159</f>
        <v/>
      </c>
      <c r="C184" s="18">
        <f>계산과정!Z159</f>
        <v/>
      </c>
      <c r="D184" s="17">
        <f>계산과정!Y159</f>
        <v/>
      </c>
      <c r="E184" s="18">
        <f>계산과정!AA159</f>
        <v/>
      </c>
      <c r="F184" s="17">
        <f>물수지!F159</f>
        <v/>
      </c>
      <c r="G184" s="17">
        <f>물수지!L159</f>
        <v/>
      </c>
      <c r="H184" s="18">
        <f>물수지!J159</f>
        <v/>
      </c>
      <c r="I184" s="8">
        <f>물수지!M159</f>
        <v/>
      </c>
    </row>
    <row r="185">
      <c r="A185" s="15">
        <f>계산과정!A160</f>
        <v/>
      </c>
      <c r="B185" s="18">
        <f>계산과정!U160</f>
        <v/>
      </c>
      <c r="C185" s="18">
        <f>계산과정!Z160</f>
        <v/>
      </c>
      <c r="D185" s="17">
        <f>계산과정!Y160</f>
        <v/>
      </c>
      <c r="E185" s="18">
        <f>계산과정!AA160</f>
        <v/>
      </c>
      <c r="F185" s="17">
        <f>물수지!F160</f>
        <v/>
      </c>
      <c r="G185" s="17">
        <f>물수지!L160</f>
        <v/>
      </c>
      <c r="H185" s="18">
        <f>물수지!J160</f>
        <v/>
      </c>
      <c r="I185" s="8">
        <f>물수지!M160</f>
        <v/>
      </c>
    </row>
    <row r="186">
      <c r="A186" s="15">
        <f>계산과정!A161</f>
        <v/>
      </c>
      <c r="B186" s="18">
        <f>계산과정!U161</f>
        <v/>
      </c>
      <c r="C186" s="18">
        <f>계산과정!Z161</f>
        <v/>
      </c>
      <c r="D186" s="17">
        <f>계산과정!Y161</f>
        <v/>
      </c>
      <c r="E186" s="18">
        <f>계산과정!AA161</f>
        <v/>
      </c>
      <c r="F186" s="17">
        <f>물수지!F161</f>
        <v/>
      </c>
      <c r="G186" s="17">
        <f>물수지!L161</f>
        <v/>
      </c>
      <c r="H186" s="18">
        <f>물수지!J161</f>
        <v/>
      </c>
      <c r="I186" s="8">
        <f>물수지!M161</f>
        <v/>
      </c>
    </row>
    <row r="187">
      <c r="A187" s="15">
        <f>계산과정!A162</f>
        <v/>
      </c>
      <c r="B187" s="18">
        <f>계산과정!U162</f>
        <v/>
      </c>
      <c r="C187" s="18">
        <f>계산과정!Z162</f>
        <v/>
      </c>
      <c r="D187" s="17">
        <f>계산과정!Y162</f>
        <v/>
      </c>
      <c r="E187" s="18">
        <f>계산과정!AA162</f>
        <v/>
      </c>
      <c r="F187" s="17">
        <f>물수지!F162</f>
        <v/>
      </c>
      <c r="G187" s="17">
        <f>물수지!L162</f>
        <v/>
      </c>
      <c r="H187" s="18">
        <f>물수지!J162</f>
        <v/>
      </c>
      <c r="I187" s="8">
        <f>물수지!M162</f>
        <v/>
      </c>
    </row>
    <row r="188">
      <c r="A188" s="15">
        <f>계산과정!A163</f>
        <v/>
      </c>
      <c r="B188" s="18">
        <f>계산과정!U163</f>
        <v/>
      </c>
      <c r="C188" s="18">
        <f>계산과정!Z163</f>
        <v/>
      </c>
      <c r="D188" s="17">
        <f>계산과정!Y163</f>
        <v/>
      </c>
      <c r="E188" s="18">
        <f>계산과정!AA163</f>
        <v/>
      </c>
      <c r="F188" s="17">
        <f>물수지!F163</f>
        <v/>
      </c>
      <c r="G188" s="17">
        <f>물수지!L163</f>
        <v/>
      </c>
      <c r="H188" s="18">
        <f>물수지!J163</f>
        <v/>
      </c>
      <c r="I188" s="8">
        <f>물수지!M163</f>
        <v/>
      </c>
    </row>
    <row r="189">
      <c r="A189" s="15">
        <f>계산과정!A164</f>
        <v/>
      </c>
      <c r="B189" s="18">
        <f>계산과정!U164</f>
        <v/>
      </c>
      <c r="C189" s="18">
        <f>계산과정!Z164</f>
        <v/>
      </c>
      <c r="D189" s="17">
        <f>계산과정!Y164</f>
        <v/>
      </c>
      <c r="E189" s="18">
        <f>계산과정!AA164</f>
        <v/>
      </c>
      <c r="F189" s="17">
        <f>물수지!F164</f>
        <v/>
      </c>
      <c r="G189" s="17">
        <f>물수지!L164</f>
        <v/>
      </c>
      <c r="H189" s="18">
        <f>물수지!J164</f>
        <v/>
      </c>
      <c r="I189" s="8">
        <f>물수지!M164</f>
        <v/>
      </c>
    </row>
    <row r="190">
      <c r="A190" s="15">
        <f>계산과정!A165</f>
        <v/>
      </c>
      <c r="B190" s="18">
        <f>계산과정!U165</f>
        <v/>
      </c>
      <c r="C190" s="18">
        <f>계산과정!Z165</f>
        <v/>
      </c>
      <c r="D190" s="17">
        <f>계산과정!Y165</f>
        <v/>
      </c>
      <c r="E190" s="18">
        <f>계산과정!AA165</f>
        <v/>
      </c>
      <c r="F190" s="17">
        <f>물수지!F165</f>
        <v/>
      </c>
      <c r="G190" s="17">
        <f>물수지!L165</f>
        <v/>
      </c>
      <c r="H190" s="18">
        <f>물수지!J165</f>
        <v/>
      </c>
      <c r="I190" s="8">
        <f>물수지!M165</f>
        <v/>
      </c>
    </row>
    <row r="191">
      <c r="A191" s="15">
        <f>계산과정!A166</f>
        <v/>
      </c>
      <c r="B191" s="18">
        <f>계산과정!U166</f>
        <v/>
      </c>
      <c r="C191" s="18">
        <f>계산과정!Z166</f>
        <v/>
      </c>
      <c r="D191" s="17">
        <f>계산과정!Y166</f>
        <v/>
      </c>
      <c r="E191" s="18">
        <f>계산과정!AA166</f>
        <v/>
      </c>
      <c r="F191" s="17">
        <f>물수지!F166</f>
        <v/>
      </c>
      <c r="G191" s="17">
        <f>물수지!L166</f>
        <v/>
      </c>
      <c r="H191" s="18">
        <f>물수지!J166</f>
        <v/>
      </c>
      <c r="I191" s="8">
        <f>물수지!M166</f>
        <v/>
      </c>
    </row>
    <row r="192">
      <c r="A192" s="15">
        <f>계산과정!A167</f>
        <v/>
      </c>
      <c r="B192" s="18">
        <f>계산과정!U167</f>
        <v/>
      </c>
      <c r="C192" s="18">
        <f>계산과정!Z167</f>
        <v/>
      </c>
      <c r="D192" s="17">
        <f>계산과정!Y167</f>
        <v/>
      </c>
      <c r="E192" s="18">
        <f>계산과정!AA167</f>
        <v/>
      </c>
      <c r="F192" s="17">
        <f>물수지!F167</f>
        <v/>
      </c>
      <c r="G192" s="17">
        <f>물수지!L167</f>
        <v/>
      </c>
      <c r="H192" s="18">
        <f>물수지!J167</f>
        <v/>
      </c>
      <c r="I192" s="8">
        <f>물수지!M167</f>
        <v/>
      </c>
    </row>
    <row r="193">
      <c r="A193" s="15">
        <f>계산과정!A168</f>
        <v/>
      </c>
      <c r="B193" s="18">
        <f>계산과정!U168</f>
        <v/>
      </c>
      <c r="C193" s="18">
        <f>계산과정!Z168</f>
        <v/>
      </c>
      <c r="D193" s="17">
        <f>계산과정!Y168</f>
        <v/>
      </c>
      <c r="E193" s="18">
        <f>계산과정!AA168</f>
        <v/>
      </c>
      <c r="F193" s="17">
        <f>물수지!F168</f>
        <v/>
      </c>
      <c r="G193" s="17">
        <f>물수지!L168</f>
        <v/>
      </c>
      <c r="H193" s="18">
        <f>물수지!J168</f>
        <v/>
      </c>
      <c r="I193" s="8">
        <f>물수지!M168</f>
        <v/>
      </c>
    </row>
    <row r="194">
      <c r="A194" s="15">
        <f>계산과정!A169</f>
        <v/>
      </c>
      <c r="B194" s="18">
        <f>계산과정!U169</f>
        <v/>
      </c>
      <c r="C194" s="18">
        <f>계산과정!Z169</f>
        <v/>
      </c>
      <c r="D194" s="17">
        <f>계산과정!Y169</f>
        <v/>
      </c>
      <c r="E194" s="18">
        <f>계산과정!AA169</f>
        <v/>
      </c>
      <c r="F194" s="17">
        <f>물수지!F169</f>
        <v/>
      </c>
      <c r="G194" s="17">
        <f>물수지!L169</f>
        <v/>
      </c>
      <c r="H194" s="18">
        <f>물수지!J169</f>
        <v/>
      </c>
      <c r="I194" s="8">
        <f>물수지!M169</f>
        <v/>
      </c>
    </row>
    <row r="195">
      <c r="A195" s="15">
        <f>계산과정!A170</f>
        <v/>
      </c>
      <c r="B195" s="18">
        <f>계산과정!U170</f>
        <v/>
      </c>
      <c r="C195" s="18">
        <f>계산과정!Z170</f>
        <v/>
      </c>
      <c r="D195" s="17">
        <f>계산과정!Y170</f>
        <v/>
      </c>
      <c r="E195" s="18">
        <f>계산과정!AA170</f>
        <v/>
      </c>
      <c r="F195" s="17">
        <f>물수지!F170</f>
        <v/>
      </c>
      <c r="G195" s="17">
        <f>물수지!L170</f>
        <v/>
      </c>
      <c r="H195" s="18">
        <f>물수지!J170</f>
        <v/>
      </c>
      <c r="I195" s="8">
        <f>물수지!M170</f>
        <v/>
      </c>
    </row>
    <row r="196">
      <c r="A196" s="15">
        <f>계산과정!A171</f>
        <v/>
      </c>
      <c r="B196" s="18">
        <f>계산과정!U171</f>
        <v/>
      </c>
      <c r="C196" s="18">
        <f>계산과정!Z171</f>
        <v/>
      </c>
      <c r="D196" s="17">
        <f>계산과정!Y171</f>
        <v/>
      </c>
      <c r="E196" s="18">
        <f>계산과정!AA171</f>
        <v/>
      </c>
      <c r="F196" s="17">
        <f>물수지!F171</f>
        <v/>
      </c>
      <c r="G196" s="17">
        <f>물수지!L171</f>
        <v/>
      </c>
      <c r="H196" s="18">
        <f>물수지!J171</f>
        <v/>
      </c>
      <c r="I196" s="8">
        <f>물수지!M171</f>
        <v/>
      </c>
    </row>
    <row r="197">
      <c r="A197" s="15">
        <f>계산과정!A172</f>
        <v/>
      </c>
      <c r="B197" s="18">
        <f>계산과정!U172</f>
        <v/>
      </c>
      <c r="C197" s="18">
        <f>계산과정!Z172</f>
        <v/>
      </c>
      <c r="D197" s="17">
        <f>계산과정!Y172</f>
        <v/>
      </c>
      <c r="E197" s="18">
        <f>계산과정!AA172</f>
        <v/>
      </c>
      <c r="F197" s="17">
        <f>물수지!F172</f>
        <v/>
      </c>
      <c r="G197" s="17">
        <f>물수지!L172</f>
        <v/>
      </c>
      <c r="H197" s="18">
        <f>물수지!J172</f>
        <v/>
      </c>
      <c r="I197" s="8">
        <f>물수지!M172</f>
        <v/>
      </c>
    </row>
    <row r="198">
      <c r="A198" s="15">
        <f>계산과정!A173</f>
        <v/>
      </c>
      <c r="B198" s="18">
        <f>계산과정!U173</f>
        <v/>
      </c>
      <c r="C198" s="18">
        <f>계산과정!Z173</f>
        <v/>
      </c>
      <c r="D198" s="17">
        <f>계산과정!Y173</f>
        <v/>
      </c>
      <c r="E198" s="18">
        <f>계산과정!AA173</f>
        <v/>
      </c>
      <c r="F198" s="17">
        <f>물수지!F173</f>
        <v/>
      </c>
      <c r="G198" s="17">
        <f>물수지!L173</f>
        <v/>
      </c>
      <c r="H198" s="18">
        <f>물수지!J173</f>
        <v/>
      </c>
      <c r="I198" s="8">
        <f>물수지!M173</f>
        <v/>
      </c>
    </row>
    <row r="199">
      <c r="A199" s="15">
        <f>계산과정!A174</f>
        <v/>
      </c>
      <c r="B199" s="18">
        <f>계산과정!U174</f>
        <v/>
      </c>
      <c r="C199" s="18">
        <f>계산과정!Z174</f>
        <v/>
      </c>
      <c r="D199" s="17">
        <f>계산과정!Y174</f>
        <v/>
      </c>
      <c r="E199" s="18">
        <f>계산과정!AA174</f>
        <v/>
      </c>
      <c r="F199" s="17">
        <f>물수지!F174</f>
        <v/>
      </c>
      <c r="G199" s="17">
        <f>물수지!L174</f>
        <v/>
      </c>
      <c r="H199" s="18">
        <f>물수지!J174</f>
        <v/>
      </c>
      <c r="I199" s="8">
        <f>물수지!M174</f>
        <v/>
      </c>
    </row>
    <row r="200">
      <c r="A200" s="15">
        <f>계산과정!A175</f>
        <v/>
      </c>
      <c r="B200" s="18">
        <f>계산과정!U175</f>
        <v/>
      </c>
      <c r="C200" s="18">
        <f>계산과정!Z175</f>
        <v/>
      </c>
      <c r="D200" s="17">
        <f>계산과정!Y175</f>
        <v/>
      </c>
      <c r="E200" s="18">
        <f>계산과정!AA175</f>
        <v/>
      </c>
      <c r="F200" s="17">
        <f>물수지!F175</f>
        <v/>
      </c>
      <c r="G200" s="17">
        <f>물수지!L175</f>
        <v/>
      </c>
      <c r="H200" s="18">
        <f>물수지!J175</f>
        <v/>
      </c>
      <c r="I200" s="8">
        <f>물수지!M175</f>
        <v/>
      </c>
    </row>
    <row r="201">
      <c r="A201" s="15">
        <f>계산과정!A176</f>
        <v/>
      </c>
      <c r="B201" s="18">
        <f>계산과정!U176</f>
        <v/>
      </c>
      <c r="C201" s="18">
        <f>계산과정!Z176</f>
        <v/>
      </c>
      <c r="D201" s="17">
        <f>계산과정!Y176</f>
        <v/>
      </c>
      <c r="E201" s="18">
        <f>계산과정!AA176</f>
        <v/>
      </c>
      <c r="F201" s="17">
        <f>물수지!F176</f>
        <v/>
      </c>
      <c r="G201" s="17">
        <f>물수지!L176</f>
        <v/>
      </c>
      <c r="H201" s="18">
        <f>물수지!J176</f>
        <v/>
      </c>
      <c r="I201" s="8">
        <f>물수지!M176</f>
        <v/>
      </c>
    </row>
    <row r="202">
      <c r="A202" s="15">
        <f>계산과정!A177</f>
        <v/>
      </c>
      <c r="B202" s="18">
        <f>계산과정!U177</f>
        <v/>
      </c>
      <c r="C202" s="18">
        <f>계산과정!Z177</f>
        <v/>
      </c>
      <c r="D202" s="17">
        <f>계산과정!Y177</f>
        <v/>
      </c>
      <c r="E202" s="18">
        <f>계산과정!AA177</f>
        <v/>
      </c>
      <c r="F202" s="17">
        <f>물수지!F177</f>
        <v/>
      </c>
      <c r="G202" s="17">
        <f>물수지!L177</f>
        <v/>
      </c>
      <c r="H202" s="18">
        <f>물수지!J177</f>
        <v/>
      </c>
      <c r="I202" s="8">
        <f>물수지!M177</f>
        <v/>
      </c>
    </row>
    <row r="203">
      <c r="A203" s="15">
        <f>계산과정!A178</f>
        <v/>
      </c>
      <c r="B203" s="18">
        <f>계산과정!U178</f>
        <v/>
      </c>
      <c r="C203" s="18">
        <f>계산과정!Z178</f>
        <v/>
      </c>
      <c r="D203" s="17">
        <f>계산과정!Y178</f>
        <v/>
      </c>
      <c r="E203" s="18">
        <f>계산과정!AA178</f>
        <v/>
      </c>
      <c r="F203" s="17">
        <f>물수지!F178</f>
        <v/>
      </c>
      <c r="G203" s="17">
        <f>물수지!L178</f>
        <v/>
      </c>
      <c r="H203" s="18">
        <f>물수지!J178</f>
        <v/>
      </c>
      <c r="I203" s="8">
        <f>물수지!M178</f>
        <v/>
      </c>
    </row>
    <row r="204">
      <c r="A204" s="15">
        <f>계산과정!A179</f>
        <v/>
      </c>
      <c r="B204" s="18">
        <f>계산과정!U179</f>
        <v/>
      </c>
      <c r="C204" s="18">
        <f>계산과정!Z179</f>
        <v/>
      </c>
      <c r="D204" s="17">
        <f>계산과정!Y179</f>
        <v/>
      </c>
      <c r="E204" s="18">
        <f>계산과정!AA179</f>
        <v/>
      </c>
      <c r="F204" s="17">
        <f>물수지!F179</f>
        <v/>
      </c>
      <c r="G204" s="17">
        <f>물수지!L179</f>
        <v/>
      </c>
      <c r="H204" s="18">
        <f>물수지!J179</f>
        <v/>
      </c>
      <c r="I204" s="8">
        <f>물수지!M179</f>
        <v/>
      </c>
    </row>
    <row r="205">
      <c r="A205" s="15">
        <f>계산과정!A180</f>
        <v/>
      </c>
      <c r="B205" s="18">
        <f>계산과정!U180</f>
        <v/>
      </c>
      <c r="C205" s="18">
        <f>계산과정!Z180</f>
        <v/>
      </c>
      <c r="D205" s="17">
        <f>계산과정!Y180</f>
        <v/>
      </c>
      <c r="E205" s="18">
        <f>계산과정!AA180</f>
        <v/>
      </c>
      <c r="F205" s="17">
        <f>물수지!F180</f>
        <v/>
      </c>
      <c r="G205" s="17">
        <f>물수지!L180</f>
        <v/>
      </c>
      <c r="H205" s="18">
        <f>물수지!J180</f>
        <v/>
      </c>
      <c r="I205" s="8">
        <f>물수지!M180</f>
        <v/>
      </c>
    </row>
    <row r="206">
      <c r="A206" s="15">
        <f>계산과정!A181</f>
        <v/>
      </c>
      <c r="B206" s="18">
        <f>계산과정!U181</f>
        <v/>
      </c>
      <c r="C206" s="18">
        <f>계산과정!Z181</f>
        <v/>
      </c>
      <c r="D206" s="17">
        <f>계산과정!Y181</f>
        <v/>
      </c>
      <c r="E206" s="18">
        <f>계산과정!AA181</f>
        <v/>
      </c>
      <c r="F206" s="17">
        <f>물수지!F181</f>
        <v/>
      </c>
      <c r="G206" s="17">
        <f>물수지!L181</f>
        <v/>
      </c>
      <c r="H206" s="18">
        <f>물수지!J181</f>
        <v/>
      </c>
      <c r="I206" s="8">
        <f>물수지!M181</f>
        <v/>
      </c>
    </row>
    <row r="207">
      <c r="A207" s="15">
        <f>계산과정!A182</f>
        <v/>
      </c>
      <c r="B207" s="18">
        <f>계산과정!U182</f>
        <v/>
      </c>
      <c r="C207" s="18">
        <f>계산과정!Z182</f>
        <v/>
      </c>
      <c r="D207" s="17">
        <f>계산과정!Y182</f>
        <v/>
      </c>
      <c r="E207" s="18">
        <f>계산과정!AA182</f>
        <v/>
      </c>
      <c r="F207" s="17">
        <f>물수지!F182</f>
        <v/>
      </c>
      <c r="G207" s="17">
        <f>물수지!L182</f>
        <v/>
      </c>
      <c r="H207" s="18">
        <f>물수지!J182</f>
        <v/>
      </c>
      <c r="I207" s="8">
        <f>물수지!M182</f>
        <v/>
      </c>
    </row>
    <row r="208">
      <c r="A208" s="15">
        <f>계산과정!A183</f>
        <v/>
      </c>
      <c r="B208" s="18">
        <f>계산과정!U183</f>
        <v/>
      </c>
      <c r="C208" s="18">
        <f>계산과정!Z183</f>
        <v/>
      </c>
      <c r="D208" s="17">
        <f>계산과정!Y183</f>
        <v/>
      </c>
      <c r="E208" s="18">
        <f>계산과정!AA183</f>
        <v/>
      </c>
      <c r="F208" s="17">
        <f>물수지!F183</f>
        <v/>
      </c>
      <c r="G208" s="17">
        <f>물수지!L183</f>
        <v/>
      </c>
      <c r="H208" s="18">
        <f>물수지!J183</f>
        <v/>
      </c>
      <c r="I208" s="8">
        <f>물수지!M183</f>
        <v/>
      </c>
    </row>
    <row r="209">
      <c r="A209" s="15">
        <f>계산과정!A184</f>
        <v/>
      </c>
      <c r="B209" s="18">
        <f>계산과정!U184</f>
        <v/>
      </c>
      <c r="C209" s="18">
        <f>계산과정!Z184</f>
        <v/>
      </c>
      <c r="D209" s="17">
        <f>계산과정!Y184</f>
        <v/>
      </c>
      <c r="E209" s="18">
        <f>계산과정!AA184</f>
        <v/>
      </c>
      <c r="F209" s="17">
        <f>물수지!F184</f>
        <v/>
      </c>
      <c r="G209" s="17">
        <f>물수지!L184</f>
        <v/>
      </c>
      <c r="H209" s="18">
        <f>물수지!J184</f>
        <v/>
      </c>
      <c r="I209" s="8">
        <f>물수지!M184</f>
        <v/>
      </c>
    </row>
    <row r="210">
      <c r="A210" s="15">
        <f>계산과정!A185</f>
        <v/>
      </c>
      <c r="B210" s="18">
        <f>계산과정!U185</f>
        <v/>
      </c>
      <c r="C210" s="18">
        <f>계산과정!Z185</f>
        <v/>
      </c>
      <c r="D210" s="17">
        <f>계산과정!Y185</f>
        <v/>
      </c>
      <c r="E210" s="18">
        <f>계산과정!AA185</f>
        <v/>
      </c>
      <c r="F210" s="17">
        <f>물수지!F185</f>
        <v/>
      </c>
      <c r="G210" s="17">
        <f>물수지!L185</f>
        <v/>
      </c>
      <c r="H210" s="18">
        <f>물수지!J185</f>
        <v/>
      </c>
      <c r="I210" s="8">
        <f>물수지!M185</f>
        <v/>
      </c>
    </row>
    <row r="211">
      <c r="A211" s="15">
        <f>계산과정!A186</f>
        <v/>
      </c>
      <c r="B211" s="18">
        <f>계산과정!U186</f>
        <v/>
      </c>
      <c r="C211" s="18">
        <f>계산과정!Z186</f>
        <v/>
      </c>
      <c r="D211" s="17">
        <f>계산과정!Y186</f>
        <v/>
      </c>
      <c r="E211" s="18">
        <f>계산과정!AA186</f>
        <v/>
      </c>
      <c r="F211" s="17">
        <f>물수지!F186</f>
        <v/>
      </c>
      <c r="G211" s="17">
        <f>물수지!L186</f>
        <v/>
      </c>
      <c r="H211" s="18">
        <f>물수지!J186</f>
        <v/>
      </c>
      <c r="I211" s="8">
        <f>물수지!M186</f>
        <v/>
      </c>
    </row>
    <row r="212">
      <c r="A212" s="15">
        <f>계산과정!A187</f>
        <v/>
      </c>
      <c r="B212" s="18">
        <f>계산과정!U187</f>
        <v/>
      </c>
      <c r="C212" s="18">
        <f>계산과정!Z187</f>
        <v/>
      </c>
      <c r="D212" s="17">
        <f>계산과정!Y187</f>
        <v/>
      </c>
      <c r="E212" s="18">
        <f>계산과정!AA187</f>
        <v/>
      </c>
      <c r="F212" s="17">
        <f>물수지!F187</f>
        <v/>
      </c>
      <c r="G212" s="17">
        <f>물수지!L187</f>
        <v/>
      </c>
      <c r="H212" s="18">
        <f>물수지!J187</f>
        <v/>
      </c>
      <c r="I212" s="8">
        <f>물수지!M187</f>
        <v/>
      </c>
    </row>
    <row r="213">
      <c r="A213" s="15">
        <f>계산과정!A188</f>
        <v/>
      </c>
      <c r="B213" s="18">
        <f>계산과정!U188</f>
        <v/>
      </c>
      <c r="C213" s="18">
        <f>계산과정!Z188</f>
        <v/>
      </c>
      <c r="D213" s="17">
        <f>계산과정!Y188</f>
        <v/>
      </c>
      <c r="E213" s="18">
        <f>계산과정!AA188</f>
        <v/>
      </c>
      <c r="F213" s="17">
        <f>물수지!F188</f>
        <v/>
      </c>
      <c r="G213" s="17">
        <f>물수지!L188</f>
        <v/>
      </c>
      <c r="H213" s="18">
        <f>물수지!J188</f>
        <v/>
      </c>
      <c r="I213" s="8">
        <f>물수지!M188</f>
        <v/>
      </c>
    </row>
    <row r="214">
      <c r="A214" s="15">
        <f>계산과정!A189</f>
        <v/>
      </c>
      <c r="B214" s="18">
        <f>계산과정!U189</f>
        <v/>
      </c>
      <c r="C214" s="18">
        <f>계산과정!Z189</f>
        <v/>
      </c>
      <c r="D214" s="17">
        <f>계산과정!Y189</f>
        <v/>
      </c>
      <c r="E214" s="18">
        <f>계산과정!AA189</f>
        <v/>
      </c>
      <c r="F214" s="17">
        <f>물수지!F189</f>
        <v/>
      </c>
      <c r="G214" s="17">
        <f>물수지!L189</f>
        <v/>
      </c>
      <c r="H214" s="18">
        <f>물수지!J189</f>
        <v/>
      </c>
      <c r="I214" s="8">
        <f>물수지!M189</f>
        <v/>
      </c>
    </row>
    <row r="215">
      <c r="A215" s="15">
        <f>계산과정!A190</f>
        <v/>
      </c>
      <c r="B215" s="18">
        <f>계산과정!U190</f>
        <v/>
      </c>
      <c r="C215" s="18">
        <f>계산과정!Z190</f>
        <v/>
      </c>
      <c r="D215" s="17">
        <f>계산과정!Y190</f>
        <v/>
      </c>
      <c r="E215" s="18">
        <f>계산과정!AA190</f>
        <v/>
      </c>
      <c r="F215" s="17">
        <f>물수지!F190</f>
        <v/>
      </c>
      <c r="G215" s="17">
        <f>물수지!L190</f>
        <v/>
      </c>
      <c r="H215" s="18">
        <f>물수지!J190</f>
        <v/>
      </c>
      <c r="I215" s="8">
        <f>물수지!M190</f>
        <v/>
      </c>
    </row>
    <row r="216">
      <c r="A216" s="15">
        <f>계산과정!A191</f>
        <v/>
      </c>
      <c r="B216" s="18">
        <f>계산과정!U191</f>
        <v/>
      </c>
      <c r="C216" s="18">
        <f>계산과정!Z191</f>
        <v/>
      </c>
      <c r="D216" s="17">
        <f>계산과정!Y191</f>
        <v/>
      </c>
      <c r="E216" s="18">
        <f>계산과정!AA191</f>
        <v/>
      </c>
      <c r="F216" s="17">
        <f>물수지!F191</f>
        <v/>
      </c>
      <c r="G216" s="17">
        <f>물수지!L191</f>
        <v/>
      </c>
      <c r="H216" s="18">
        <f>물수지!J191</f>
        <v/>
      </c>
      <c r="I216" s="8">
        <f>물수지!M191</f>
        <v/>
      </c>
    </row>
    <row r="217">
      <c r="A217" s="15">
        <f>계산과정!A192</f>
        <v/>
      </c>
      <c r="B217" s="18">
        <f>계산과정!U192</f>
        <v/>
      </c>
      <c r="C217" s="18">
        <f>계산과정!Z192</f>
        <v/>
      </c>
      <c r="D217" s="17">
        <f>계산과정!Y192</f>
        <v/>
      </c>
      <c r="E217" s="18">
        <f>계산과정!AA192</f>
        <v/>
      </c>
      <c r="F217" s="17">
        <f>물수지!F192</f>
        <v/>
      </c>
      <c r="G217" s="17">
        <f>물수지!L192</f>
        <v/>
      </c>
      <c r="H217" s="18">
        <f>물수지!J192</f>
        <v/>
      </c>
      <c r="I217" s="8">
        <f>물수지!M192</f>
        <v/>
      </c>
    </row>
    <row r="218">
      <c r="A218" s="15">
        <f>계산과정!A193</f>
        <v/>
      </c>
      <c r="B218" s="18">
        <f>계산과정!U193</f>
        <v/>
      </c>
      <c r="C218" s="18">
        <f>계산과정!Z193</f>
        <v/>
      </c>
      <c r="D218" s="17">
        <f>계산과정!Y193</f>
        <v/>
      </c>
      <c r="E218" s="18">
        <f>계산과정!AA193</f>
        <v/>
      </c>
      <c r="F218" s="17">
        <f>물수지!F193</f>
        <v/>
      </c>
      <c r="G218" s="17">
        <f>물수지!L193</f>
        <v/>
      </c>
      <c r="H218" s="18">
        <f>물수지!J193</f>
        <v/>
      </c>
      <c r="I218" s="8">
        <f>물수지!M193</f>
        <v/>
      </c>
    </row>
    <row r="219">
      <c r="A219" s="15">
        <f>계산과정!A194</f>
        <v/>
      </c>
      <c r="B219" s="18">
        <f>계산과정!U194</f>
        <v/>
      </c>
      <c r="C219" s="18">
        <f>계산과정!Z194</f>
        <v/>
      </c>
      <c r="D219" s="17">
        <f>계산과정!Y194</f>
        <v/>
      </c>
      <c r="E219" s="18">
        <f>계산과정!AA194</f>
        <v/>
      </c>
      <c r="F219" s="17">
        <f>물수지!F194</f>
        <v/>
      </c>
      <c r="G219" s="17">
        <f>물수지!L194</f>
        <v/>
      </c>
      <c r="H219" s="18">
        <f>물수지!J194</f>
        <v/>
      </c>
      <c r="I219" s="8">
        <f>물수지!M194</f>
        <v/>
      </c>
    </row>
    <row r="220">
      <c r="A220" s="15">
        <f>계산과정!A195</f>
        <v/>
      </c>
      <c r="B220" s="18">
        <f>계산과정!U195</f>
        <v/>
      </c>
      <c r="C220" s="18">
        <f>계산과정!Z195</f>
        <v/>
      </c>
      <c r="D220" s="17">
        <f>계산과정!Y195</f>
        <v/>
      </c>
      <c r="E220" s="18">
        <f>계산과정!AA195</f>
        <v/>
      </c>
      <c r="F220" s="17">
        <f>물수지!F195</f>
        <v/>
      </c>
      <c r="G220" s="17">
        <f>물수지!L195</f>
        <v/>
      </c>
      <c r="H220" s="18">
        <f>물수지!J195</f>
        <v/>
      </c>
      <c r="I220" s="8">
        <f>물수지!M195</f>
        <v/>
      </c>
    </row>
    <row r="221">
      <c r="A221" s="15">
        <f>계산과정!A196</f>
        <v/>
      </c>
      <c r="B221" s="18">
        <f>계산과정!U196</f>
        <v/>
      </c>
      <c r="C221" s="18">
        <f>계산과정!Z196</f>
        <v/>
      </c>
      <c r="D221" s="17">
        <f>계산과정!Y196</f>
        <v/>
      </c>
      <c r="E221" s="18">
        <f>계산과정!AA196</f>
        <v/>
      </c>
      <c r="F221" s="17">
        <f>물수지!F196</f>
        <v/>
      </c>
      <c r="G221" s="17">
        <f>물수지!L196</f>
        <v/>
      </c>
      <c r="H221" s="18">
        <f>물수지!J196</f>
        <v/>
      </c>
      <c r="I221" s="8">
        <f>물수지!M196</f>
        <v/>
      </c>
    </row>
    <row r="222">
      <c r="A222" s="15">
        <f>계산과정!A197</f>
        <v/>
      </c>
      <c r="B222" s="18">
        <f>계산과정!U197</f>
        <v/>
      </c>
      <c r="C222" s="18">
        <f>계산과정!Z197</f>
        <v/>
      </c>
      <c r="D222" s="17">
        <f>계산과정!Y197</f>
        <v/>
      </c>
      <c r="E222" s="18">
        <f>계산과정!AA197</f>
        <v/>
      </c>
      <c r="F222" s="17">
        <f>물수지!F197</f>
        <v/>
      </c>
      <c r="G222" s="17">
        <f>물수지!L197</f>
        <v/>
      </c>
      <c r="H222" s="18">
        <f>물수지!J197</f>
        <v/>
      </c>
      <c r="I222" s="8">
        <f>물수지!M197</f>
        <v/>
      </c>
    </row>
    <row r="223">
      <c r="A223" s="15">
        <f>계산과정!A198</f>
        <v/>
      </c>
      <c r="B223" s="18">
        <f>계산과정!U198</f>
        <v/>
      </c>
      <c r="C223" s="18">
        <f>계산과정!Z198</f>
        <v/>
      </c>
      <c r="D223" s="17">
        <f>계산과정!Y198</f>
        <v/>
      </c>
      <c r="E223" s="18">
        <f>계산과정!AA198</f>
        <v/>
      </c>
      <c r="F223" s="17">
        <f>물수지!F198</f>
        <v/>
      </c>
      <c r="G223" s="17">
        <f>물수지!L198</f>
        <v/>
      </c>
      <c r="H223" s="18">
        <f>물수지!J198</f>
        <v/>
      </c>
      <c r="I223" s="8">
        <f>물수지!M198</f>
        <v/>
      </c>
    </row>
    <row r="224">
      <c r="A224" s="15">
        <f>계산과정!A199</f>
        <v/>
      </c>
      <c r="B224" s="18">
        <f>계산과정!U199</f>
        <v/>
      </c>
      <c r="C224" s="18">
        <f>계산과정!Z199</f>
        <v/>
      </c>
      <c r="D224" s="17">
        <f>계산과정!Y199</f>
        <v/>
      </c>
      <c r="E224" s="18">
        <f>계산과정!AA199</f>
        <v/>
      </c>
      <c r="F224" s="17">
        <f>물수지!F199</f>
        <v/>
      </c>
      <c r="G224" s="17">
        <f>물수지!L199</f>
        <v/>
      </c>
      <c r="H224" s="18">
        <f>물수지!J199</f>
        <v/>
      </c>
      <c r="I224" s="8">
        <f>물수지!M199</f>
        <v/>
      </c>
    </row>
    <row r="225">
      <c r="A225" s="15">
        <f>계산과정!A200</f>
        <v/>
      </c>
      <c r="B225" s="18">
        <f>계산과정!U200</f>
        <v/>
      </c>
      <c r="C225" s="18">
        <f>계산과정!Z200</f>
        <v/>
      </c>
      <c r="D225" s="17">
        <f>계산과정!Y200</f>
        <v/>
      </c>
      <c r="E225" s="18">
        <f>계산과정!AA200</f>
        <v/>
      </c>
      <c r="F225" s="17">
        <f>물수지!F200</f>
        <v/>
      </c>
      <c r="G225" s="17">
        <f>물수지!L200</f>
        <v/>
      </c>
      <c r="H225" s="18">
        <f>물수지!J200</f>
        <v/>
      </c>
      <c r="I225" s="8">
        <f>물수지!M200</f>
        <v/>
      </c>
    </row>
    <row r="226">
      <c r="A226" s="15">
        <f>계산과정!A201</f>
        <v/>
      </c>
      <c r="B226" s="18">
        <f>계산과정!U201</f>
        <v/>
      </c>
      <c r="C226" s="18">
        <f>계산과정!Z201</f>
        <v/>
      </c>
      <c r="D226" s="17">
        <f>계산과정!Y201</f>
        <v/>
      </c>
      <c r="E226" s="18">
        <f>계산과정!AA201</f>
        <v/>
      </c>
      <c r="F226" s="17">
        <f>물수지!F201</f>
        <v/>
      </c>
      <c r="G226" s="17">
        <f>물수지!L201</f>
        <v/>
      </c>
      <c r="H226" s="18">
        <f>물수지!J201</f>
        <v/>
      </c>
      <c r="I226" s="8">
        <f>물수지!M201</f>
        <v/>
      </c>
    </row>
    <row r="227">
      <c r="A227" s="15">
        <f>계산과정!A202</f>
        <v/>
      </c>
      <c r="B227" s="18">
        <f>계산과정!U202</f>
        <v/>
      </c>
      <c r="C227" s="18">
        <f>계산과정!Z202</f>
        <v/>
      </c>
      <c r="D227" s="17">
        <f>계산과정!Y202</f>
        <v/>
      </c>
      <c r="E227" s="18">
        <f>계산과정!AA202</f>
        <v/>
      </c>
      <c r="F227" s="17">
        <f>물수지!F202</f>
        <v/>
      </c>
      <c r="G227" s="17">
        <f>물수지!L202</f>
        <v/>
      </c>
      <c r="H227" s="18">
        <f>물수지!J202</f>
        <v/>
      </c>
      <c r="I227" s="8">
        <f>물수지!M202</f>
        <v/>
      </c>
    </row>
    <row r="228">
      <c r="A228" s="15">
        <f>계산과정!A203</f>
        <v/>
      </c>
      <c r="B228" s="18">
        <f>계산과정!U203</f>
        <v/>
      </c>
      <c r="C228" s="18">
        <f>계산과정!Z203</f>
        <v/>
      </c>
      <c r="D228" s="17">
        <f>계산과정!Y203</f>
        <v/>
      </c>
      <c r="E228" s="18">
        <f>계산과정!AA203</f>
        <v/>
      </c>
      <c r="F228" s="17">
        <f>물수지!F203</f>
        <v/>
      </c>
      <c r="G228" s="17">
        <f>물수지!L203</f>
        <v/>
      </c>
      <c r="H228" s="18">
        <f>물수지!J203</f>
        <v/>
      </c>
      <c r="I228" s="8">
        <f>물수지!M203</f>
        <v/>
      </c>
    </row>
    <row r="229">
      <c r="A229" s="15">
        <f>계산과정!A204</f>
        <v/>
      </c>
      <c r="B229" s="18">
        <f>계산과정!U204</f>
        <v/>
      </c>
      <c r="C229" s="18">
        <f>계산과정!Z204</f>
        <v/>
      </c>
      <c r="D229" s="17">
        <f>계산과정!Y204</f>
        <v/>
      </c>
      <c r="E229" s="18">
        <f>계산과정!AA204</f>
        <v/>
      </c>
      <c r="F229" s="17">
        <f>물수지!F204</f>
        <v/>
      </c>
      <c r="G229" s="17">
        <f>물수지!L204</f>
        <v/>
      </c>
      <c r="H229" s="18">
        <f>물수지!J204</f>
        <v/>
      </c>
      <c r="I229" s="8">
        <f>물수지!M204</f>
        <v/>
      </c>
    </row>
    <row r="230">
      <c r="A230" s="15">
        <f>계산과정!A205</f>
        <v/>
      </c>
      <c r="B230" s="18">
        <f>계산과정!U205</f>
        <v/>
      </c>
      <c r="C230" s="18">
        <f>계산과정!Z205</f>
        <v/>
      </c>
      <c r="D230" s="17">
        <f>계산과정!Y205</f>
        <v/>
      </c>
      <c r="E230" s="18">
        <f>계산과정!AA205</f>
        <v/>
      </c>
      <c r="F230" s="17">
        <f>물수지!F205</f>
        <v/>
      </c>
      <c r="G230" s="17">
        <f>물수지!L205</f>
        <v/>
      </c>
      <c r="H230" s="18">
        <f>물수지!J205</f>
        <v/>
      </c>
      <c r="I230" s="8">
        <f>물수지!M205</f>
        <v/>
      </c>
    </row>
    <row r="231">
      <c r="A231" s="15">
        <f>계산과정!A206</f>
        <v/>
      </c>
      <c r="B231" s="18">
        <f>계산과정!U206</f>
        <v/>
      </c>
      <c r="C231" s="18">
        <f>계산과정!Z206</f>
        <v/>
      </c>
      <c r="D231" s="17">
        <f>계산과정!Y206</f>
        <v/>
      </c>
      <c r="E231" s="18">
        <f>계산과정!AA206</f>
        <v/>
      </c>
      <c r="F231" s="17">
        <f>물수지!F206</f>
        <v/>
      </c>
      <c r="G231" s="17">
        <f>물수지!L206</f>
        <v/>
      </c>
      <c r="H231" s="18">
        <f>물수지!J206</f>
        <v/>
      </c>
      <c r="I231" s="8">
        <f>물수지!M206</f>
        <v/>
      </c>
    </row>
    <row r="232">
      <c r="A232" s="15">
        <f>계산과정!A207</f>
        <v/>
      </c>
      <c r="B232" s="18">
        <f>계산과정!U207</f>
        <v/>
      </c>
      <c r="C232" s="18">
        <f>계산과정!Z207</f>
        <v/>
      </c>
      <c r="D232" s="17">
        <f>계산과정!Y207</f>
        <v/>
      </c>
      <c r="E232" s="18">
        <f>계산과정!AA207</f>
        <v/>
      </c>
      <c r="F232" s="17">
        <f>물수지!F207</f>
        <v/>
      </c>
      <c r="G232" s="17">
        <f>물수지!L207</f>
        <v/>
      </c>
      <c r="H232" s="18">
        <f>물수지!J207</f>
        <v/>
      </c>
      <c r="I232" s="8">
        <f>물수지!M207</f>
        <v/>
      </c>
    </row>
    <row r="233">
      <c r="A233" s="15">
        <f>계산과정!A208</f>
        <v/>
      </c>
      <c r="B233" s="18">
        <f>계산과정!U208</f>
        <v/>
      </c>
      <c r="C233" s="18">
        <f>계산과정!Z208</f>
        <v/>
      </c>
      <c r="D233" s="17">
        <f>계산과정!Y208</f>
        <v/>
      </c>
      <c r="E233" s="18">
        <f>계산과정!AA208</f>
        <v/>
      </c>
      <c r="F233" s="17">
        <f>물수지!F208</f>
        <v/>
      </c>
      <c r="G233" s="17">
        <f>물수지!L208</f>
        <v/>
      </c>
      <c r="H233" s="18">
        <f>물수지!J208</f>
        <v/>
      </c>
      <c r="I233" s="8">
        <f>물수지!M208</f>
        <v/>
      </c>
    </row>
    <row r="234">
      <c r="A234" s="15">
        <f>계산과정!A209</f>
        <v/>
      </c>
      <c r="B234" s="18">
        <f>계산과정!U209</f>
        <v/>
      </c>
      <c r="C234" s="18">
        <f>계산과정!Z209</f>
        <v/>
      </c>
      <c r="D234" s="17">
        <f>계산과정!Y209</f>
        <v/>
      </c>
      <c r="E234" s="18">
        <f>계산과정!AA209</f>
        <v/>
      </c>
      <c r="F234" s="17">
        <f>물수지!F209</f>
        <v/>
      </c>
      <c r="G234" s="17">
        <f>물수지!L209</f>
        <v/>
      </c>
      <c r="H234" s="18">
        <f>물수지!J209</f>
        <v/>
      </c>
      <c r="I234" s="8">
        <f>물수지!M209</f>
        <v/>
      </c>
    </row>
    <row r="235">
      <c r="A235" s="15">
        <f>계산과정!A210</f>
        <v/>
      </c>
      <c r="B235" s="18">
        <f>계산과정!U210</f>
        <v/>
      </c>
      <c r="C235" s="18">
        <f>계산과정!Z210</f>
        <v/>
      </c>
      <c r="D235" s="17">
        <f>계산과정!Y210</f>
        <v/>
      </c>
      <c r="E235" s="18">
        <f>계산과정!AA210</f>
        <v/>
      </c>
      <c r="F235" s="17">
        <f>물수지!F210</f>
        <v/>
      </c>
      <c r="G235" s="17">
        <f>물수지!L210</f>
        <v/>
      </c>
      <c r="H235" s="18">
        <f>물수지!J210</f>
        <v/>
      </c>
      <c r="I235" s="8">
        <f>물수지!M210</f>
        <v/>
      </c>
    </row>
    <row r="236">
      <c r="A236" s="15">
        <f>계산과정!A211</f>
        <v/>
      </c>
      <c r="B236" s="18">
        <f>계산과정!U211</f>
        <v/>
      </c>
      <c r="C236" s="18">
        <f>계산과정!Z211</f>
        <v/>
      </c>
      <c r="D236" s="17">
        <f>계산과정!Y211</f>
        <v/>
      </c>
      <c r="E236" s="18">
        <f>계산과정!AA211</f>
        <v/>
      </c>
      <c r="F236" s="17">
        <f>물수지!F211</f>
        <v/>
      </c>
      <c r="G236" s="17">
        <f>물수지!L211</f>
        <v/>
      </c>
      <c r="H236" s="18">
        <f>물수지!J211</f>
        <v/>
      </c>
      <c r="I236" s="8">
        <f>물수지!M211</f>
        <v/>
      </c>
    </row>
    <row r="237">
      <c r="A237" s="15">
        <f>계산과정!A212</f>
        <v/>
      </c>
      <c r="B237" s="18">
        <f>계산과정!U212</f>
        <v/>
      </c>
      <c r="C237" s="18">
        <f>계산과정!Z212</f>
        <v/>
      </c>
      <c r="D237" s="17">
        <f>계산과정!Y212</f>
        <v/>
      </c>
      <c r="E237" s="18">
        <f>계산과정!AA212</f>
        <v/>
      </c>
      <c r="F237" s="17">
        <f>물수지!F212</f>
        <v/>
      </c>
      <c r="G237" s="17">
        <f>물수지!L212</f>
        <v/>
      </c>
      <c r="H237" s="18">
        <f>물수지!J212</f>
        <v/>
      </c>
      <c r="I237" s="8">
        <f>물수지!M212</f>
        <v/>
      </c>
    </row>
    <row r="238">
      <c r="A238" s="15">
        <f>계산과정!A213</f>
        <v/>
      </c>
      <c r="B238" s="18">
        <f>계산과정!U213</f>
        <v/>
      </c>
      <c r="C238" s="18">
        <f>계산과정!Z213</f>
        <v/>
      </c>
      <c r="D238" s="17">
        <f>계산과정!Y213</f>
        <v/>
      </c>
      <c r="E238" s="18">
        <f>계산과정!AA213</f>
        <v/>
      </c>
      <c r="F238" s="17">
        <f>물수지!F213</f>
        <v/>
      </c>
      <c r="G238" s="17">
        <f>물수지!L213</f>
        <v/>
      </c>
      <c r="H238" s="18">
        <f>물수지!J213</f>
        <v/>
      </c>
      <c r="I238" s="8">
        <f>물수지!M213</f>
        <v/>
      </c>
    </row>
    <row r="239">
      <c r="A239" s="15">
        <f>계산과정!A214</f>
        <v/>
      </c>
      <c r="B239" s="18">
        <f>계산과정!U214</f>
        <v/>
      </c>
      <c r="C239" s="18">
        <f>계산과정!Z214</f>
        <v/>
      </c>
      <c r="D239" s="17">
        <f>계산과정!Y214</f>
        <v/>
      </c>
      <c r="E239" s="18">
        <f>계산과정!AA214</f>
        <v/>
      </c>
      <c r="F239" s="17">
        <f>물수지!F214</f>
        <v/>
      </c>
      <c r="G239" s="17">
        <f>물수지!L214</f>
        <v/>
      </c>
      <c r="H239" s="18">
        <f>물수지!J214</f>
        <v/>
      </c>
      <c r="I239" s="8">
        <f>물수지!M214</f>
        <v/>
      </c>
    </row>
    <row r="240">
      <c r="A240" s="15">
        <f>계산과정!A215</f>
        <v/>
      </c>
      <c r="B240" s="18">
        <f>계산과정!U215</f>
        <v/>
      </c>
      <c r="C240" s="18">
        <f>계산과정!Z215</f>
        <v/>
      </c>
      <c r="D240" s="17">
        <f>계산과정!Y215</f>
        <v/>
      </c>
      <c r="E240" s="18">
        <f>계산과정!AA215</f>
        <v/>
      </c>
      <c r="F240" s="17">
        <f>물수지!F215</f>
        <v/>
      </c>
      <c r="G240" s="17">
        <f>물수지!L215</f>
        <v/>
      </c>
      <c r="H240" s="18">
        <f>물수지!J215</f>
        <v/>
      </c>
      <c r="I240" s="8">
        <f>물수지!M215</f>
        <v/>
      </c>
    </row>
    <row r="241">
      <c r="A241" s="15">
        <f>계산과정!A216</f>
        <v/>
      </c>
      <c r="B241" s="18">
        <f>계산과정!U216</f>
        <v/>
      </c>
      <c r="C241" s="18">
        <f>계산과정!Z216</f>
        <v/>
      </c>
      <c r="D241" s="17">
        <f>계산과정!Y216</f>
        <v/>
      </c>
      <c r="E241" s="18">
        <f>계산과정!AA216</f>
        <v/>
      </c>
      <c r="F241" s="17">
        <f>물수지!F216</f>
        <v/>
      </c>
      <c r="G241" s="17">
        <f>물수지!L216</f>
        <v/>
      </c>
      <c r="H241" s="18">
        <f>물수지!J216</f>
        <v/>
      </c>
      <c r="I241" s="8">
        <f>물수지!M216</f>
        <v/>
      </c>
    </row>
    <row r="242">
      <c r="A242" s="15">
        <f>계산과정!A217</f>
        <v/>
      </c>
      <c r="B242" s="18">
        <f>계산과정!U217</f>
        <v/>
      </c>
      <c r="C242" s="18">
        <f>계산과정!Z217</f>
        <v/>
      </c>
      <c r="D242" s="17">
        <f>계산과정!Y217</f>
        <v/>
      </c>
      <c r="E242" s="18">
        <f>계산과정!AA217</f>
        <v/>
      </c>
      <c r="F242" s="17">
        <f>물수지!F217</f>
        <v/>
      </c>
      <c r="G242" s="17">
        <f>물수지!L217</f>
        <v/>
      </c>
      <c r="H242" s="18">
        <f>물수지!J217</f>
        <v/>
      </c>
      <c r="I242" s="8">
        <f>물수지!M217</f>
        <v/>
      </c>
    </row>
    <row r="243">
      <c r="A243" s="15">
        <f>계산과정!A218</f>
        <v/>
      </c>
      <c r="B243" s="18">
        <f>계산과정!U218</f>
        <v/>
      </c>
      <c r="C243" s="18">
        <f>계산과정!Z218</f>
        <v/>
      </c>
      <c r="D243" s="17">
        <f>계산과정!Y218</f>
        <v/>
      </c>
      <c r="E243" s="18">
        <f>계산과정!AA218</f>
        <v/>
      </c>
      <c r="F243" s="17">
        <f>물수지!F218</f>
        <v/>
      </c>
      <c r="G243" s="17">
        <f>물수지!L218</f>
        <v/>
      </c>
      <c r="H243" s="18">
        <f>물수지!J218</f>
        <v/>
      </c>
      <c r="I243" s="8">
        <f>물수지!M218</f>
        <v/>
      </c>
    </row>
    <row r="244">
      <c r="A244" s="15">
        <f>계산과정!A219</f>
        <v/>
      </c>
      <c r="B244" s="18">
        <f>계산과정!U219</f>
        <v/>
      </c>
      <c r="C244" s="18">
        <f>계산과정!Z219</f>
        <v/>
      </c>
      <c r="D244" s="17">
        <f>계산과정!Y219</f>
        <v/>
      </c>
      <c r="E244" s="18">
        <f>계산과정!AA219</f>
        <v/>
      </c>
      <c r="F244" s="17">
        <f>물수지!F219</f>
        <v/>
      </c>
      <c r="G244" s="17">
        <f>물수지!L219</f>
        <v/>
      </c>
      <c r="H244" s="18">
        <f>물수지!J219</f>
        <v/>
      </c>
      <c r="I244" s="8">
        <f>물수지!M219</f>
        <v/>
      </c>
    </row>
    <row r="245">
      <c r="A245" s="15">
        <f>계산과정!A220</f>
        <v/>
      </c>
      <c r="B245" s="18">
        <f>계산과정!U220</f>
        <v/>
      </c>
      <c r="C245" s="18">
        <f>계산과정!Z220</f>
        <v/>
      </c>
      <c r="D245" s="17">
        <f>계산과정!Y220</f>
        <v/>
      </c>
      <c r="E245" s="18">
        <f>계산과정!AA220</f>
        <v/>
      </c>
      <c r="F245" s="17">
        <f>물수지!F220</f>
        <v/>
      </c>
      <c r="G245" s="17">
        <f>물수지!L220</f>
        <v/>
      </c>
      <c r="H245" s="18">
        <f>물수지!J220</f>
        <v/>
      </c>
      <c r="I245" s="8">
        <f>물수지!M220</f>
        <v/>
      </c>
    </row>
    <row r="246">
      <c r="A246" s="15">
        <f>계산과정!A221</f>
        <v/>
      </c>
      <c r="B246" s="18">
        <f>계산과정!U221</f>
        <v/>
      </c>
      <c r="C246" s="18">
        <f>계산과정!Z221</f>
        <v/>
      </c>
      <c r="D246" s="17">
        <f>계산과정!Y221</f>
        <v/>
      </c>
      <c r="E246" s="18">
        <f>계산과정!AA221</f>
        <v/>
      </c>
      <c r="F246" s="17">
        <f>물수지!F221</f>
        <v/>
      </c>
      <c r="G246" s="17">
        <f>물수지!L221</f>
        <v/>
      </c>
      <c r="H246" s="18">
        <f>물수지!J221</f>
        <v/>
      </c>
      <c r="I246" s="8">
        <f>물수지!M221</f>
        <v/>
      </c>
    </row>
    <row r="247">
      <c r="A247" s="15">
        <f>계산과정!A222</f>
        <v/>
      </c>
      <c r="B247" s="18">
        <f>계산과정!U222</f>
        <v/>
      </c>
      <c r="C247" s="18">
        <f>계산과정!Z222</f>
        <v/>
      </c>
      <c r="D247" s="17">
        <f>계산과정!Y222</f>
        <v/>
      </c>
      <c r="E247" s="18">
        <f>계산과정!AA222</f>
        <v/>
      </c>
      <c r="F247" s="17">
        <f>물수지!F222</f>
        <v/>
      </c>
      <c r="G247" s="17">
        <f>물수지!L222</f>
        <v/>
      </c>
      <c r="H247" s="18">
        <f>물수지!J222</f>
        <v/>
      </c>
      <c r="I247" s="8">
        <f>물수지!M222</f>
        <v/>
      </c>
    </row>
    <row r="248">
      <c r="A248" s="15">
        <f>계산과정!A223</f>
        <v/>
      </c>
      <c r="B248" s="18">
        <f>계산과정!U223</f>
        <v/>
      </c>
      <c r="C248" s="18">
        <f>계산과정!Z223</f>
        <v/>
      </c>
      <c r="D248" s="17">
        <f>계산과정!Y223</f>
        <v/>
      </c>
      <c r="E248" s="18">
        <f>계산과정!AA223</f>
        <v/>
      </c>
      <c r="F248" s="17">
        <f>물수지!F223</f>
        <v/>
      </c>
      <c r="G248" s="17">
        <f>물수지!L223</f>
        <v/>
      </c>
      <c r="H248" s="18">
        <f>물수지!J223</f>
        <v/>
      </c>
      <c r="I248" s="8">
        <f>물수지!M223</f>
        <v/>
      </c>
    </row>
    <row r="249">
      <c r="A249" s="15">
        <f>계산과정!A224</f>
        <v/>
      </c>
      <c r="B249" s="18">
        <f>계산과정!U224</f>
        <v/>
      </c>
      <c r="C249" s="18">
        <f>계산과정!Z224</f>
        <v/>
      </c>
      <c r="D249" s="17">
        <f>계산과정!Y224</f>
        <v/>
      </c>
      <c r="E249" s="18">
        <f>계산과정!AA224</f>
        <v/>
      </c>
      <c r="F249" s="17">
        <f>물수지!F224</f>
        <v/>
      </c>
      <c r="G249" s="17">
        <f>물수지!L224</f>
        <v/>
      </c>
      <c r="H249" s="18">
        <f>물수지!J224</f>
        <v/>
      </c>
      <c r="I249" s="8">
        <f>물수지!M224</f>
        <v/>
      </c>
    </row>
    <row r="250">
      <c r="A250" s="15">
        <f>계산과정!A225</f>
        <v/>
      </c>
      <c r="B250" s="18">
        <f>계산과정!U225</f>
        <v/>
      </c>
      <c r="C250" s="18">
        <f>계산과정!Z225</f>
        <v/>
      </c>
      <c r="D250" s="17">
        <f>계산과정!Y225</f>
        <v/>
      </c>
      <c r="E250" s="18">
        <f>계산과정!AA225</f>
        <v/>
      </c>
      <c r="F250" s="17">
        <f>물수지!F225</f>
        <v/>
      </c>
      <c r="G250" s="17">
        <f>물수지!L225</f>
        <v/>
      </c>
      <c r="H250" s="18">
        <f>물수지!J225</f>
        <v/>
      </c>
      <c r="I250" s="8">
        <f>물수지!M225</f>
        <v/>
      </c>
    </row>
    <row r="251">
      <c r="A251" s="15">
        <f>계산과정!A226</f>
        <v/>
      </c>
      <c r="B251" s="18">
        <f>계산과정!U226</f>
        <v/>
      </c>
      <c r="C251" s="18">
        <f>계산과정!Z226</f>
        <v/>
      </c>
      <c r="D251" s="17">
        <f>계산과정!Y226</f>
        <v/>
      </c>
      <c r="E251" s="18">
        <f>계산과정!AA226</f>
        <v/>
      </c>
      <c r="F251" s="17">
        <f>물수지!F226</f>
        <v/>
      </c>
      <c r="G251" s="17">
        <f>물수지!L226</f>
        <v/>
      </c>
      <c r="H251" s="18">
        <f>물수지!J226</f>
        <v/>
      </c>
      <c r="I251" s="8">
        <f>물수지!M226</f>
        <v/>
      </c>
    </row>
    <row r="252">
      <c r="A252" s="15">
        <f>계산과정!A227</f>
        <v/>
      </c>
      <c r="B252" s="18">
        <f>계산과정!U227</f>
        <v/>
      </c>
      <c r="C252" s="18">
        <f>계산과정!Z227</f>
        <v/>
      </c>
      <c r="D252" s="17">
        <f>계산과정!Y227</f>
        <v/>
      </c>
      <c r="E252" s="18">
        <f>계산과정!AA227</f>
        <v/>
      </c>
      <c r="F252" s="17">
        <f>물수지!F227</f>
        <v/>
      </c>
      <c r="G252" s="17">
        <f>물수지!L227</f>
        <v/>
      </c>
      <c r="H252" s="18">
        <f>물수지!J227</f>
        <v/>
      </c>
      <c r="I252" s="8">
        <f>물수지!M227</f>
        <v/>
      </c>
    </row>
    <row r="253">
      <c r="A253" s="15">
        <f>계산과정!A228</f>
        <v/>
      </c>
      <c r="B253" s="18">
        <f>계산과정!U228</f>
        <v/>
      </c>
      <c r="C253" s="18">
        <f>계산과정!Z228</f>
        <v/>
      </c>
      <c r="D253" s="17">
        <f>계산과정!Y228</f>
        <v/>
      </c>
      <c r="E253" s="18">
        <f>계산과정!AA228</f>
        <v/>
      </c>
      <c r="F253" s="17">
        <f>물수지!F228</f>
        <v/>
      </c>
      <c r="G253" s="17">
        <f>물수지!L228</f>
        <v/>
      </c>
      <c r="H253" s="18">
        <f>물수지!J228</f>
        <v/>
      </c>
      <c r="I253" s="8">
        <f>물수지!M228</f>
        <v/>
      </c>
    </row>
    <row r="254">
      <c r="A254" s="15">
        <f>계산과정!A229</f>
        <v/>
      </c>
      <c r="B254" s="18">
        <f>계산과정!U229</f>
        <v/>
      </c>
      <c r="C254" s="18">
        <f>계산과정!Z229</f>
        <v/>
      </c>
      <c r="D254" s="17">
        <f>계산과정!Y229</f>
        <v/>
      </c>
      <c r="E254" s="18">
        <f>계산과정!AA229</f>
        <v/>
      </c>
      <c r="F254" s="17">
        <f>물수지!F229</f>
        <v/>
      </c>
      <c r="G254" s="17">
        <f>물수지!L229</f>
        <v/>
      </c>
      <c r="H254" s="18">
        <f>물수지!J229</f>
        <v/>
      </c>
      <c r="I254" s="8">
        <f>물수지!M229</f>
        <v/>
      </c>
    </row>
    <row r="255">
      <c r="A255" s="15">
        <f>계산과정!A230</f>
        <v/>
      </c>
      <c r="B255" s="18">
        <f>계산과정!U230</f>
        <v/>
      </c>
      <c r="C255" s="18">
        <f>계산과정!Z230</f>
        <v/>
      </c>
      <c r="D255" s="17">
        <f>계산과정!Y230</f>
        <v/>
      </c>
      <c r="E255" s="18">
        <f>계산과정!AA230</f>
        <v/>
      </c>
      <c r="F255" s="17">
        <f>물수지!F230</f>
        <v/>
      </c>
      <c r="G255" s="17">
        <f>물수지!L230</f>
        <v/>
      </c>
      <c r="H255" s="18">
        <f>물수지!J230</f>
        <v/>
      </c>
      <c r="I255" s="8">
        <f>물수지!M230</f>
        <v/>
      </c>
    </row>
    <row r="256">
      <c r="A256" s="15">
        <f>계산과정!A231</f>
        <v/>
      </c>
      <c r="B256" s="18">
        <f>계산과정!U231</f>
        <v/>
      </c>
      <c r="C256" s="18">
        <f>계산과정!Z231</f>
        <v/>
      </c>
      <c r="D256" s="17">
        <f>계산과정!Y231</f>
        <v/>
      </c>
      <c r="E256" s="18">
        <f>계산과정!AA231</f>
        <v/>
      </c>
      <c r="F256" s="17">
        <f>물수지!F231</f>
        <v/>
      </c>
      <c r="G256" s="17">
        <f>물수지!L231</f>
        <v/>
      </c>
      <c r="H256" s="18">
        <f>물수지!J231</f>
        <v/>
      </c>
      <c r="I256" s="8">
        <f>물수지!M231</f>
        <v/>
      </c>
    </row>
    <row r="257">
      <c r="A257" s="15">
        <f>계산과정!A232</f>
        <v/>
      </c>
      <c r="B257" s="18">
        <f>계산과정!U232</f>
        <v/>
      </c>
      <c r="C257" s="18">
        <f>계산과정!Z232</f>
        <v/>
      </c>
      <c r="D257" s="17">
        <f>계산과정!Y232</f>
        <v/>
      </c>
      <c r="E257" s="18">
        <f>계산과정!AA232</f>
        <v/>
      </c>
      <c r="F257" s="17">
        <f>물수지!F232</f>
        <v/>
      </c>
      <c r="G257" s="17">
        <f>물수지!L232</f>
        <v/>
      </c>
      <c r="H257" s="18">
        <f>물수지!J232</f>
        <v/>
      </c>
      <c r="I257" s="8">
        <f>물수지!M232</f>
        <v/>
      </c>
    </row>
    <row r="258">
      <c r="A258" s="15">
        <f>계산과정!A233</f>
        <v/>
      </c>
      <c r="B258" s="18">
        <f>계산과정!U233</f>
        <v/>
      </c>
      <c r="C258" s="18">
        <f>계산과정!Z233</f>
        <v/>
      </c>
      <c r="D258" s="17">
        <f>계산과정!Y233</f>
        <v/>
      </c>
      <c r="E258" s="18">
        <f>계산과정!AA233</f>
        <v/>
      </c>
      <c r="F258" s="17">
        <f>물수지!F233</f>
        <v/>
      </c>
      <c r="G258" s="17">
        <f>물수지!L233</f>
        <v/>
      </c>
      <c r="H258" s="18">
        <f>물수지!J233</f>
        <v/>
      </c>
      <c r="I258" s="8">
        <f>물수지!M233</f>
        <v/>
      </c>
    </row>
    <row r="259">
      <c r="A259" s="15">
        <f>계산과정!A234</f>
        <v/>
      </c>
      <c r="B259" s="18">
        <f>계산과정!U234</f>
        <v/>
      </c>
      <c r="C259" s="18">
        <f>계산과정!Z234</f>
        <v/>
      </c>
      <c r="D259" s="17">
        <f>계산과정!Y234</f>
        <v/>
      </c>
      <c r="E259" s="18">
        <f>계산과정!AA234</f>
        <v/>
      </c>
      <c r="F259" s="17">
        <f>물수지!F234</f>
        <v/>
      </c>
      <c r="G259" s="17">
        <f>물수지!L234</f>
        <v/>
      </c>
      <c r="H259" s="18">
        <f>물수지!J234</f>
        <v/>
      </c>
      <c r="I259" s="8">
        <f>물수지!M234</f>
        <v/>
      </c>
    </row>
    <row r="260">
      <c r="A260" s="15">
        <f>계산과정!A235</f>
        <v/>
      </c>
      <c r="B260" s="18">
        <f>계산과정!U235</f>
        <v/>
      </c>
      <c r="C260" s="18">
        <f>계산과정!Z235</f>
        <v/>
      </c>
      <c r="D260" s="17">
        <f>계산과정!Y235</f>
        <v/>
      </c>
      <c r="E260" s="18">
        <f>계산과정!AA235</f>
        <v/>
      </c>
      <c r="F260" s="17">
        <f>물수지!F235</f>
        <v/>
      </c>
      <c r="G260" s="17">
        <f>물수지!L235</f>
        <v/>
      </c>
      <c r="H260" s="18">
        <f>물수지!J235</f>
        <v/>
      </c>
      <c r="I260" s="8">
        <f>물수지!M235</f>
        <v/>
      </c>
    </row>
    <row r="261">
      <c r="A261" s="15">
        <f>계산과정!A236</f>
        <v/>
      </c>
      <c r="B261" s="18">
        <f>계산과정!U236</f>
        <v/>
      </c>
      <c r="C261" s="18">
        <f>계산과정!Z236</f>
        <v/>
      </c>
      <c r="D261" s="17">
        <f>계산과정!Y236</f>
        <v/>
      </c>
      <c r="E261" s="18">
        <f>계산과정!AA236</f>
        <v/>
      </c>
      <c r="F261" s="17">
        <f>물수지!F236</f>
        <v/>
      </c>
      <c r="G261" s="17">
        <f>물수지!L236</f>
        <v/>
      </c>
      <c r="H261" s="18">
        <f>물수지!J236</f>
        <v/>
      </c>
      <c r="I261" s="8">
        <f>물수지!M236</f>
        <v/>
      </c>
    </row>
    <row r="262">
      <c r="A262" s="15">
        <f>계산과정!A237</f>
        <v/>
      </c>
      <c r="B262" s="18">
        <f>계산과정!U237</f>
        <v/>
      </c>
      <c r="C262" s="18">
        <f>계산과정!Z237</f>
        <v/>
      </c>
      <c r="D262" s="17">
        <f>계산과정!Y237</f>
        <v/>
      </c>
      <c r="E262" s="18">
        <f>계산과정!AA237</f>
        <v/>
      </c>
      <c r="F262" s="17">
        <f>물수지!F237</f>
        <v/>
      </c>
      <c r="G262" s="17">
        <f>물수지!L237</f>
        <v/>
      </c>
      <c r="H262" s="18">
        <f>물수지!J237</f>
        <v/>
      </c>
      <c r="I262" s="8">
        <f>물수지!M237</f>
        <v/>
      </c>
    </row>
    <row r="263">
      <c r="A263" s="15">
        <f>계산과정!A238</f>
        <v/>
      </c>
      <c r="B263" s="18">
        <f>계산과정!U238</f>
        <v/>
      </c>
      <c r="C263" s="18">
        <f>계산과정!Z238</f>
        <v/>
      </c>
      <c r="D263" s="17">
        <f>계산과정!Y238</f>
        <v/>
      </c>
      <c r="E263" s="18">
        <f>계산과정!AA238</f>
        <v/>
      </c>
      <c r="F263" s="17">
        <f>물수지!F238</f>
        <v/>
      </c>
      <c r="G263" s="17">
        <f>물수지!L238</f>
        <v/>
      </c>
      <c r="H263" s="18">
        <f>물수지!J238</f>
        <v/>
      </c>
      <c r="I263" s="8">
        <f>물수지!M238</f>
        <v/>
      </c>
    </row>
    <row r="264">
      <c r="A264" s="15">
        <f>계산과정!A239</f>
        <v/>
      </c>
      <c r="B264" s="18">
        <f>계산과정!U239</f>
        <v/>
      </c>
      <c r="C264" s="18">
        <f>계산과정!Z239</f>
        <v/>
      </c>
      <c r="D264" s="17">
        <f>계산과정!Y239</f>
        <v/>
      </c>
      <c r="E264" s="18">
        <f>계산과정!AA239</f>
        <v/>
      </c>
      <c r="F264" s="17">
        <f>물수지!F239</f>
        <v/>
      </c>
      <c r="G264" s="17">
        <f>물수지!L239</f>
        <v/>
      </c>
      <c r="H264" s="18">
        <f>물수지!J239</f>
        <v/>
      </c>
      <c r="I264" s="8">
        <f>물수지!M239</f>
        <v/>
      </c>
    </row>
    <row r="265">
      <c r="A265" s="15">
        <f>계산과정!A240</f>
        <v/>
      </c>
      <c r="B265" s="18">
        <f>계산과정!U240</f>
        <v/>
      </c>
      <c r="C265" s="18">
        <f>계산과정!Z240</f>
        <v/>
      </c>
      <c r="D265" s="17">
        <f>계산과정!Y240</f>
        <v/>
      </c>
      <c r="E265" s="18">
        <f>계산과정!AA240</f>
        <v/>
      </c>
      <c r="F265" s="17">
        <f>물수지!F240</f>
        <v/>
      </c>
      <c r="G265" s="17">
        <f>물수지!L240</f>
        <v/>
      </c>
      <c r="H265" s="18">
        <f>물수지!J240</f>
        <v/>
      </c>
      <c r="I265" s="8">
        <f>물수지!M240</f>
        <v/>
      </c>
    </row>
    <row r="266">
      <c r="A266" s="15">
        <f>계산과정!A241</f>
        <v/>
      </c>
      <c r="B266" s="18">
        <f>계산과정!U241</f>
        <v/>
      </c>
      <c r="C266" s="18">
        <f>계산과정!Z241</f>
        <v/>
      </c>
      <c r="D266" s="17">
        <f>계산과정!Y241</f>
        <v/>
      </c>
      <c r="E266" s="18">
        <f>계산과정!AA241</f>
        <v/>
      </c>
      <c r="F266" s="17">
        <f>물수지!F241</f>
        <v/>
      </c>
      <c r="G266" s="17">
        <f>물수지!L241</f>
        <v/>
      </c>
      <c r="H266" s="18">
        <f>물수지!J241</f>
        <v/>
      </c>
      <c r="I266" s="8">
        <f>물수지!M241</f>
        <v/>
      </c>
    </row>
    <row r="267">
      <c r="A267" s="15">
        <f>계산과정!A242</f>
        <v/>
      </c>
      <c r="B267" s="18">
        <f>계산과정!U242</f>
        <v/>
      </c>
      <c r="C267" s="18">
        <f>계산과정!Z242</f>
        <v/>
      </c>
      <c r="D267" s="17">
        <f>계산과정!Y242</f>
        <v/>
      </c>
      <c r="E267" s="18">
        <f>계산과정!AA242</f>
        <v/>
      </c>
      <c r="F267" s="17">
        <f>물수지!F242</f>
        <v/>
      </c>
      <c r="G267" s="17">
        <f>물수지!L242</f>
        <v/>
      </c>
      <c r="H267" s="18">
        <f>물수지!J242</f>
        <v/>
      </c>
      <c r="I267" s="8">
        <f>물수지!M242</f>
        <v/>
      </c>
    </row>
    <row r="268">
      <c r="A268" s="15">
        <f>계산과정!A243</f>
        <v/>
      </c>
      <c r="B268" s="18">
        <f>계산과정!U243</f>
        <v/>
      </c>
      <c r="C268" s="18">
        <f>계산과정!Z243</f>
        <v/>
      </c>
      <c r="D268" s="17">
        <f>계산과정!Y243</f>
        <v/>
      </c>
      <c r="E268" s="18">
        <f>계산과정!AA243</f>
        <v/>
      </c>
      <c r="F268" s="17">
        <f>물수지!F243</f>
        <v/>
      </c>
      <c r="G268" s="17">
        <f>물수지!L243</f>
        <v/>
      </c>
      <c r="H268" s="18">
        <f>물수지!J243</f>
        <v/>
      </c>
      <c r="I268" s="8">
        <f>물수지!M243</f>
        <v/>
      </c>
    </row>
    <row r="269">
      <c r="A269" s="15">
        <f>계산과정!A244</f>
        <v/>
      </c>
      <c r="B269" s="18">
        <f>계산과정!U244</f>
        <v/>
      </c>
      <c r="C269" s="18">
        <f>계산과정!Z244</f>
        <v/>
      </c>
      <c r="D269" s="17">
        <f>계산과정!Y244</f>
        <v/>
      </c>
      <c r="E269" s="18">
        <f>계산과정!AA244</f>
        <v/>
      </c>
      <c r="F269" s="17">
        <f>물수지!F244</f>
        <v/>
      </c>
      <c r="G269" s="17">
        <f>물수지!L244</f>
        <v/>
      </c>
      <c r="H269" s="18">
        <f>물수지!J244</f>
        <v/>
      </c>
      <c r="I269" s="8">
        <f>물수지!M244</f>
        <v/>
      </c>
    </row>
    <row r="270">
      <c r="A270" s="15">
        <f>계산과정!A245</f>
        <v/>
      </c>
      <c r="B270" s="18">
        <f>계산과정!U245</f>
        <v/>
      </c>
      <c r="C270" s="18">
        <f>계산과정!Z245</f>
        <v/>
      </c>
      <c r="D270" s="17">
        <f>계산과정!Y245</f>
        <v/>
      </c>
      <c r="E270" s="18">
        <f>계산과정!AA245</f>
        <v/>
      </c>
      <c r="F270" s="17">
        <f>물수지!F245</f>
        <v/>
      </c>
      <c r="G270" s="17">
        <f>물수지!L245</f>
        <v/>
      </c>
      <c r="H270" s="18">
        <f>물수지!J245</f>
        <v/>
      </c>
      <c r="I270" s="8">
        <f>물수지!M245</f>
        <v/>
      </c>
    </row>
    <row r="271">
      <c r="A271" s="15">
        <f>계산과정!A246</f>
        <v/>
      </c>
      <c r="B271" s="18">
        <f>계산과정!U246</f>
        <v/>
      </c>
      <c r="C271" s="18">
        <f>계산과정!Z246</f>
        <v/>
      </c>
      <c r="D271" s="17">
        <f>계산과정!Y246</f>
        <v/>
      </c>
      <c r="E271" s="18">
        <f>계산과정!AA246</f>
        <v/>
      </c>
      <c r="F271" s="17">
        <f>물수지!F246</f>
        <v/>
      </c>
      <c r="G271" s="17">
        <f>물수지!L246</f>
        <v/>
      </c>
      <c r="H271" s="18">
        <f>물수지!J246</f>
        <v/>
      </c>
      <c r="I271" s="8">
        <f>물수지!M246</f>
        <v/>
      </c>
    </row>
    <row r="272">
      <c r="A272" s="15">
        <f>계산과정!A247</f>
        <v/>
      </c>
      <c r="B272" s="18">
        <f>계산과정!U247</f>
        <v/>
      </c>
      <c r="C272" s="18">
        <f>계산과정!Z247</f>
        <v/>
      </c>
      <c r="D272" s="17">
        <f>계산과정!Y247</f>
        <v/>
      </c>
      <c r="E272" s="18">
        <f>계산과정!AA247</f>
        <v/>
      </c>
      <c r="F272" s="17">
        <f>물수지!F247</f>
        <v/>
      </c>
      <c r="G272" s="17">
        <f>물수지!L247</f>
        <v/>
      </c>
      <c r="H272" s="18">
        <f>물수지!J247</f>
        <v/>
      </c>
      <c r="I272" s="8">
        <f>물수지!M247</f>
        <v/>
      </c>
    </row>
    <row r="273">
      <c r="A273" s="15">
        <f>계산과정!A248</f>
        <v/>
      </c>
      <c r="B273" s="18">
        <f>계산과정!U248</f>
        <v/>
      </c>
      <c r="C273" s="18">
        <f>계산과정!Z248</f>
        <v/>
      </c>
      <c r="D273" s="17">
        <f>계산과정!Y248</f>
        <v/>
      </c>
      <c r="E273" s="18">
        <f>계산과정!AA248</f>
        <v/>
      </c>
      <c r="F273" s="17">
        <f>물수지!F248</f>
        <v/>
      </c>
      <c r="G273" s="17">
        <f>물수지!L248</f>
        <v/>
      </c>
      <c r="H273" s="18">
        <f>물수지!J248</f>
        <v/>
      </c>
      <c r="I273" s="8">
        <f>물수지!M248</f>
        <v/>
      </c>
    </row>
    <row r="274">
      <c r="A274" s="15">
        <f>계산과정!A249</f>
        <v/>
      </c>
      <c r="B274" s="18">
        <f>계산과정!U249</f>
        <v/>
      </c>
      <c r="C274" s="18">
        <f>계산과정!Z249</f>
        <v/>
      </c>
      <c r="D274" s="17">
        <f>계산과정!Y249</f>
        <v/>
      </c>
      <c r="E274" s="18">
        <f>계산과정!AA249</f>
        <v/>
      </c>
      <c r="F274" s="17">
        <f>물수지!F249</f>
        <v/>
      </c>
      <c r="G274" s="17">
        <f>물수지!L249</f>
        <v/>
      </c>
      <c r="H274" s="18">
        <f>물수지!J249</f>
        <v/>
      </c>
      <c r="I274" s="8">
        <f>물수지!M249</f>
        <v/>
      </c>
    </row>
    <row r="275">
      <c r="A275" s="15">
        <f>계산과정!A250</f>
        <v/>
      </c>
      <c r="B275" s="18">
        <f>계산과정!U250</f>
        <v/>
      </c>
      <c r="C275" s="18">
        <f>계산과정!Z250</f>
        <v/>
      </c>
      <c r="D275" s="17">
        <f>계산과정!Y250</f>
        <v/>
      </c>
      <c r="E275" s="18">
        <f>계산과정!AA250</f>
        <v/>
      </c>
      <c r="F275" s="17">
        <f>물수지!F250</f>
        <v/>
      </c>
      <c r="G275" s="17">
        <f>물수지!L250</f>
        <v/>
      </c>
      <c r="H275" s="18">
        <f>물수지!J250</f>
        <v/>
      </c>
      <c r="I275" s="8">
        <f>물수지!M250</f>
        <v/>
      </c>
    </row>
    <row r="276">
      <c r="A276" s="15">
        <f>계산과정!A251</f>
        <v/>
      </c>
      <c r="B276" s="18">
        <f>계산과정!U251</f>
        <v/>
      </c>
      <c r="C276" s="18">
        <f>계산과정!Z251</f>
        <v/>
      </c>
      <c r="D276" s="17">
        <f>계산과정!Y251</f>
        <v/>
      </c>
      <c r="E276" s="18">
        <f>계산과정!AA251</f>
        <v/>
      </c>
      <c r="F276" s="17">
        <f>물수지!F251</f>
        <v/>
      </c>
      <c r="G276" s="17">
        <f>물수지!L251</f>
        <v/>
      </c>
      <c r="H276" s="18">
        <f>물수지!J251</f>
        <v/>
      </c>
      <c r="I276" s="8">
        <f>물수지!M251</f>
        <v/>
      </c>
    </row>
    <row r="277">
      <c r="A277" s="15">
        <f>계산과정!A252</f>
        <v/>
      </c>
      <c r="B277" s="18">
        <f>계산과정!U252</f>
        <v/>
      </c>
      <c r="C277" s="18">
        <f>계산과정!Z252</f>
        <v/>
      </c>
      <c r="D277" s="17">
        <f>계산과정!Y252</f>
        <v/>
      </c>
      <c r="E277" s="18">
        <f>계산과정!AA252</f>
        <v/>
      </c>
      <c r="F277" s="17">
        <f>물수지!F252</f>
        <v/>
      </c>
      <c r="G277" s="17">
        <f>물수지!L252</f>
        <v/>
      </c>
      <c r="H277" s="18">
        <f>물수지!J252</f>
        <v/>
      </c>
      <c r="I277" s="8">
        <f>물수지!M252</f>
        <v/>
      </c>
    </row>
    <row r="278">
      <c r="A278" s="15">
        <f>계산과정!A253</f>
        <v/>
      </c>
      <c r="B278" s="18">
        <f>계산과정!U253</f>
        <v/>
      </c>
      <c r="C278" s="18">
        <f>계산과정!Z253</f>
        <v/>
      </c>
      <c r="D278" s="17">
        <f>계산과정!Y253</f>
        <v/>
      </c>
      <c r="E278" s="18">
        <f>계산과정!AA253</f>
        <v/>
      </c>
      <c r="F278" s="17">
        <f>물수지!F253</f>
        <v/>
      </c>
      <c r="G278" s="17">
        <f>물수지!L253</f>
        <v/>
      </c>
      <c r="H278" s="18">
        <f>물수지!J253</f>
        <v/>
      </c>
      <c r="I278" s="8">
        <f>물수지!M253</f>
        <v/>
      </c>
    </row>
    <row r="279">
      <c r="A279" s="15">
        <f>계산과정!A254</f>
        <v/>
      </c>
      <c r="B279" s="18">
        <f>계산과정!U254</f>
        <v/>
      </c>
      <c r="C279" s="18">
        <f>계산과정!Z254</f>
        <v/>
      </c>
      <c r="D279" s="17">
        <f>계산과정!Y254</f>
        <v/>
      </c>
      <c r="E279" s="18">
        <f>계산과정!AA254</f>
        <v/>
      </c>
      <c r="F279" s="17">
        <f>물수지!F254</f>
        <v/>
      </c>
      <c r="G279" s="17">
        <f>물수지!L254</f>
        <v/>
      </c>
      <c r="H279" s="18">
        <f>물수지!J254</f>
        <v/>
      </c>
      <c r="I279" s="8">
        <f>물수지!M254</f>
        <v/>
      </c>
    </row>
    <row r="280">
      <c r="A280" s="15">
        <f>계산과정!A255</f>
        <v/>
      </c>
      <c r="B280" s="18">
        <f>계산과정!U255</f>
        <v/>
      </c>
      <c r="C280" s="18">
        <f>계산과정!Z255</f>
        <v/>
      </c>
      <c r="D280" s="17">
        <f>계산과정!Y255</f>
        <v/>
      </c>
      <c r="E280" s="18">
        <f>계산과정!AA255</f>
        <v/>
      </c>
      <c r="F280" s="17">
        <f>물수지!F255</f>
        <v/>
      </c>
      <c r="G280" s="17">
        <f>물수지!L255</f>
        <v/>
      </c>
      <c r="H280" s="18">
        <f>물수지!J255</f>
        <v/>
      </c>
      <c r="I280" s="8">
        <f>물수지!M255</f>
        <v/>
      </c>
    </row>
    <row r="281">
      <c r="A281" s="15">
        <f>계산과정!A256</f>
        <v/>
      </c>
      <c r="B281" s="18">
        <f>계산과정!U256</f>
        <v/>
      </c>
      <c r="C281" s="18">
        <f>계산과정!Z256</f>
        <v/>
      </c>
      <c r="D281" s="17">
        <f>계산과정!Y256</f>
        <v/>
      </c>
      <c r="E281" s="18">
        <f>계산과정!AA256</f>
        <v/>
      </c>
      <c r="F281" s="17">
        <f>물수지!F256</f>
        <v/>
      </c>
      <c r="G281" s="17">
        <f>물수지!L256</f>
        <v/>
      </c>
      <c r="H281" s="18">
        <f>물수지!J256</f>
        <v/>
      </c>
      <c r="I281" s="8">
        <f>물수지!M256</f>
        <v/>
      </c>
    </row>
    <row r="282">
      <c r="A282" s="15">
        <f>계산과정!A257</f>
        <v/>
      </c>
      <c r="B282" s="18">
        <f>계산과정!U257</f>
        <v/>
      </c>
      <c r="C282" s="18">
        <f>계산과정!Z257</f>
        <v/>
      </c>
      <c r="D282" s="17">
        <f>계산과정!Y257</f>
        <v/>
      </c>
      <c r="E282" s="18">
        <f>계산과정!AA257</f>
        <v/>
      </c>
      <c r="F282" s="17">
        <f>물수지!F257</f>
        <v/>
      </c>
      <c r="G282" s="17">
        <f>물수지!L257</f>
        <v/>
      </c>
      <c r="H282" s="18">
        <f>물수지!J257</f>
        <v/>
      </c>
      <c r="I282" s="8">
        <f>물수지!M257</f>
        <v/>
      </c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A15:D15"/>
    <mergeCell ref="B6:D6"/>
    <mergeCell ref="B24:D24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6" customWidth="1" min="13" max="13"/>
    <col width="9" customWidth="1" min="14" max="14"/>
    <col width="9" customWidth="1" min="15" max="15"/>
  </cols>
  <sheetData>
    <row r="1">
      <c r="A1" s="29" t="inlineStr">
        <is>
          <t>일자</t>
        </is>
      </c>
      <c r="B1" s="29" t="inlineStr">
        <is>
          <t>생육단계</t>
        </is>
      </c>
      <c r="C1" s="29" t="inlineStr">
        <is>
          <t>Kc</t>
        </is>
      </c>
      <c r="D1" s="29" t="inlineStr">
        <is>
          <t>ETo
(mm)</t>
        </is>
      </c>
      <c r="E1" s="29" t="inlineStr">
        <is>
          <t>ETc
(mm)</t>
        </is>
      </c>
      <c r="F1" s="29" t="inlineStr">
        <is>
          <t>강수P
(mm)</t>
        </is>
      </c>
      <c r="G1" s="29" t="inlineStr">
        <is>
          <t>Dr,i-1
(mm)</t>
        </is>
      </c>
      <c r="H1" s="29" t="inlineStr">
        <is>
          <t>DP
(mm)</t>
        </is>
      </c>
      <c r="I1" s="29" t="inlineStr">
        <is>
          <t>Dr비후
(mm)</t>
        </is>
      </c>
      <c r="J1" s="29" t="inlineStr">
        <is>
          <t>Ks</t>
        </is>
      </c>
      <c r="K1" s="29" t="inlineStr">
        <is>
          <t>ETc_adj
(mm)</t>
        </is>
      </c>
      <c r="L1" s="29" t="inlineStr">
        <is>
          <t>Dr,i
(mm)</t>
        </is>
      </c>
      <c r="M1" s="29" t="inlineStr">
        <is>
          <t>관수
필요</t>
        </is>
      </c>
      <c r="N1" s="29" t="inlineStr">
        <is>
          <t>필요 순관수량
In (mm)</t>
        </is>
      </c>
      <c r="O1" s="29" t="inlineStr">
        <is>
          <t>필요 총관수량
Ig (mm)</t>
        </is>
      </c>
    </row>
    <row r="2">
      <c r="A2" s="15">
        <f>계산과정!A2</f>
        <v/>
      </c>
      <c r="B2" s="11">
        <f>계산과정!V2</f>
        <v/>
      </c>
      <c r="C2" s="12">
        <f>계산과정!W2</f>
        <v/>
      </c>
      <c r="D2" s="18">
        <f>계산과정!U2</f>
        <v/>
      </c>
      <c r="E2" s="18">
        <f>D2*C2</f>
        <v/>
      </c>
      <c r="F2" s="17">
        <f>원데이터!N2</f>
        <v/>
      </c>
      <c r="G2" s="17">
        <f>설정!$B$43</f>
        <v/>
      </c>
      <c r="H2" s="17">
        <f>MAX(F2-G2, 0)</f>
        <v/>
      </c>
      <c r="I2" s="17">
        <f>MAX(G2-F2, 0)</f>
        <v/>
      </c>
      <c r="J2" s="18">
        <f>IF(I2&lt;=설정!$B$42, 1, (설정!$B$41-I2)/(설정!$B$41-설정!$B$42))</f>
        <v/>
      </c>
      <c r="K2" s="18">
        <f>J2*E2</f>
        <v/>
      </c>
      <c r="L2" s="17">
        <f>MIN(I2+K2, 설정!$B$41)</f>
        <v/>
      </c>
      <c r="M2" s="8">
        <f>IF(L2&gt;=설정!$B$42,"●","")</f>
        <v/>
      </c>
      <c r="N2" s="17">
        <f>IF(M2="●",L2,0)</f>
        <v/>
      </c>
      <c r="O2" s="17">
        <f>IF(N2&gt;0,N2/설정!$B$44,0)</f>
        <v/>
      </c>
    </row>
    <row r="3">
      <c r="A3" s="15">
        <f>계산과정!A3</f>
        <v/>
      </c>
      <c r="B3" s="11">
        <f>계산과정!V3</f>
        <v/>
      </c>
      <c r="C3" s="12">
        <f>계산과정!W3</f>
        <v/>
      </c>
      <c r="D3" s="18">
        <f>계산과정!U3</f>
        <v/>
      </c>
      <c r="E3" s="18">
        <f>D3*C3</f>
        <v/>
      </c>
      <c r="F3" s="17">
        <f>원데이터!N3</f>
        <v/>
      </c>
      <c r="G3" s="17">
        <f>L2</f>
        <v/>
      </c>
      <c r="H3" s="17">
        <f>MAX(F3-G3, 0)</f>
        <v/>
      </c>
      <c r="I3" s="17">
        <f>MAX(G3-F3, 0)</f>
        <v/>
      </c>
      <c r="J3" s="18">
        <f>IF(I3&lt;=설정!$B$42, 1, (설정!$B$41-I3)/(설정!$B$41-설정!$B$42))</f>
        <v/>
      </c>
      <c r="K3" s="18">
        <f>J3*E3</f>
        <v/>
      </c>
      <c r="L3" s="17">
        <f>MIN(I3+K3, 설정!$B$41)</f>
        <v/>
      </c>
      <c r="M3" s="8">
        <f>IF(L3&gt;=설정!$B$42,"●","")</f>
        <v/>
      </c>
      <c r="N3" s="17">
        <f>IF(M3="●",L3,0)</f>
        <v/>
      </c>
      <c r="O3" s="17">
        <f>IF(N3&gt;0,N3/설정!$B$44,0)</f>
        <v/>
      </c>
    </row>
    <row r="4">
      <c r="A4" s="15">
        <f>계산과정!A4</f>
        <v/>
      </c>
      <c r="B4" s="11">
        <f>계산과정!V4</f>
        <v/>
      </c>
      <c r="C4" s="12">
        <f>계산과정!W4</f>
        <v/>
      </c>
      <c r="D4" s="18">
        <f>계산과정!U4</f>
        <v/>
      </c>
      <c r="E4" s="18">
        <f>D4*C4</f>
        <v/>
      </c>
      <c r="F4" s="17">
        <f>원데이터!N4</f>
        <v/>
      </c>
      <c r="G4" s="17">
        <f>L3</f>
        <v/>
      </c>
      <c r="H4" s="17">
        <f>MAX(F4-G4, 0)</f>
        <v/>
      </c>
      <c r="I4" s="17">
        <f>MAX(G4-F4, 0)</f>
        <v/>
      </c>
      <c r="J4" s="18">
        <f>IF(I4&lt;=설정!$B$42, 1, (설정!$B$41-I4)/(설정!$B$41-설정!$B$42))</f>
        <v/>
      </c>
      <c r="K4" s="18">
        <f>J4*E4</f>
        <v/>
      </c>
      <c r="L4" s="17">
        <f>MIN(I4+K4, 설정!$B$41)</f>
        <v/>
      </c>
      <c r="M4" s="8">
        <f>IF(L4&gt;=설정!$B$42,"●","")</f>
        <v/>
      </c>
      <c r="N4" s="17">
        <f>IF(M4="●",L4,0)</f>
        <v/>
      </c>
      <c r="O4" s="17">
        <f>IF(N4&gt;0,N4/설정!$B$44,0)</f>
        <v/>
      </c>
    </row>
    <row r="5">
      <c r="A5" s="15">
        <f>계산과정!A5</f>
        <v/>
      </c>
      <c r="B5" s="11">
        <f>계산과정!V5</f>
        <v/>
      </c>
      <c r="C5" s="12">
        <f>계산과정!W5</f>
        <v/>
      </c>
      <c r="D5" s="18">
        <f>계산과정!U5</f>
        <v/>
      </c>
      <c r="E5" s="18">
        <f>D5*C5</f>
        <v/>
      </c>
      <c r="F5" s="17">
        <f>원데이터!N5</f>
        <v/>
      </c>
      <c r="G5" s="17">
        <f>L4</f>
        <v/>
      </c>
      <c r="H5" s="17">
        <f>MAX(F5-G5, 0)</f>
        <v/>
      </c>
      <c r="I5" s="17">
        <f>MAX(G5-F5, 0)</f>
        <v/>
      </c>
      <c r="J5" s="18">
        <f>IF(I5&lt;=설정!$B$42, 1, (설정!$B$41-I5)/(설정!$B$41-설정!$B$42))</f>
        <v/>
      </c>
      <c r="K5" s="18">
        <f>J5*E5</f>
        <v/>
      </c>
      <c r="L5" s="17">
        <f>MIN(I5+K5, 설정!$B$41)</f>
        <v/>
      </c>
      <c r="M5" s="8">
        <f>IF(L5&gt;=설정!$B$42,"●","")</f>
        <v/>
      </c>
      <c r="N5" s="17">
        <f>IF(M5="●",L5,0)</f>
        <v/>
      </c>
      <c r="O5" s="17">
        <f>IF(N5&gt;0,N5/설정!$B$44,0)</f>
        <v/>
      </c>
    </row>
    <row r="6">
      <c r="A6" s="15">
        <f>계산과정!A6</f>
        <v/>
      </c>
      <c r="B6" s="11">
        <f>계산과정!V6</f>
        <v/>
      </c>
      <c r="C6" s="12">
        <f>계산과정!W6</f>
        <v/>
      </c>
      <c r="D6" s="18">
        <f>계산과정!U6</f>
        <v/>
      </c>
      <c r="E6" s="18">
        <f>D6*C6</f>
        <v/>
      </c>
      <c r="F6" s="17">
        <f>원데이터!N6</f>
        <v/>
      </c>
      <c r="G6" s="17">
        <f>L5</f>
        <v/>
      </c>
      <c r="H6" s="17">
        <f>MAX(F6-G6, 0)</f>
        <v/>
      </c>
      <c r="I6" s="17">
        <f>MAX(G6-F6, 0)</f>
        <v/>
      </c>
      <c r="J6" s="18">
        <f>IF(I6&lt;=설정!$B$42, 1, (설정!$B$41-I6)/(설정!$B$41-설정!$B$42))</f>
        <v/>
      </c>
      <c r="K6" s="18">
        <f>J6*E6</f>
        <v/>
      </c>
      <c r="L6" s="17">
        <f>MIN(I6+K6, 설정!$B$41)</f>
        <v/>
      </c>
      <c r="M6" s="8">
        <f>IF(L6&gt;=설정!$B$42,"●","")</f>
        <v/>
      </c>
      <c r="N6" s="17">
        <f>IF(M6="●",L6,0)</f>
        <v/>
      </c>
      <c r="O6" s="17">
        <f>IF(N6&gt;0,N6/설정!$B$44,0)</f>
        <v/>
      </c>
    </row>
    <row r="7">
      <c r="A7" s="15">
        <f>계산과정!A7</f>
        <v/>
      </c>
      <c r="B7" s="11">
        <f>계산과정!V7</f>
        <v/>
      </c>
      <c r="C7" s="12">
        <f>계산과정!W7</f>
        <v/>
      </c>
      <c r="D7" s="18">
        <f>계산과정!U7</f>
        <v/>
      </c>
      <c r="E7" s="18">
        <f>D7*C7</f>
        <v/>
      </c>
      <c r="F7" s="17">
        <f>원데이터!N7</f>
        <v/>
      </c>
      <c r="G7" s="17">
        <f>L6</f>
        <v/>
      </c>
      <c r="H7" s="17">
        <f>MAX(F7-G7, 0)</f>
        <v/>
      </c>
      <c r="I7" s="17">
        <f>MAX(G7-F7, 0)</f>
        <v/>
      </c>
      <c r="J7" s="18">
        <f>IF(I7&lt;=설정!$B$42, 1, (설정!$B$41-I7)/(설정!$B$41-설정!$B$42))</f>
        <v/>
      </c>
      <c r="K7" s="18">
        <f>J7*E7</f>
        <v/>
      </c>
      <c r="L7" s="17">
        <f>MIN(I7+K7, 설정!$B$41)</f>
        <v/>
      </c>
      <c r="M7" s="8">
        <f>IF(L7&gt;=설정!$B$42,"●","")</f>
        <v/>
      </c>
      <c r="N7" s="17">
        <f>IF(M7="●",L7,0)</f>
        <v/>
      </c>
      <c r="O7" s="17">
        <f>IF(N7&gt;0,N7/설정!$B$44,0)</f>
        <v/>
      </c>
    </row>
    <row r="8">
      <c r="A8" s="15">
        <f>계산과정!A8</f>
        <v/>
      </c>
      <c r="B8" s="11">
        <f>계산과정!V8</f>
        <v/>
      </c>
      <c r="C8" s="12">
        <f>계산과정!W8</f>
        <v/>
      </c>
      <c r="D8" s="18">
        <f>계산과정!U8</f>
        <v/>
      </c>
      <c r="E8" s="18">
        <f>D8*C8</f>
        <v/>
      </c>
      <c r="F8" s="17">
        <f>원데이터!N8</f>
        <v/>
      </c>
      <c r="G8" s="17">
        <f>L7</f>
        <v/>
      </c>
      <c r="H8" s="17">
        <f>MAX(F8-G8, 0)</f>
        <v/>
      </c>
      <c r="I8" s="17">
        <f>MAX(G8-F8, 0)</f>
        <v/>
      </c>
      <c r="J8" s="18">
        <f>IF(I8&lt;=설정!$B$42, 1, (설정!$B$41-I8)/(설정!$B$41-설정!$B$42))</f>
        <v/>
      </c>
      <c r="K8" s="18">
        <f>J8*E8</f>
        <v/>
      </c>
      <c r="L8" s="17">
        <f>MIN(I8+K8, 설정!$B$41)</f>
        <v/>
      </c>
      <c r="M8" s="8">
        <f>IF(L8&gt;=설정!$B$42,"●","")</f>
        <v/>
      </c>
      <c r="N8" s="17">
        <f>IF(M8="●",L8,0)</f>
        <v/>
      </c>
      <c r="O8" s="17">
        <f>IF(N8&gt;0,N8/설정!$B$44,0)</f>
        <v/>
      </c>
    </row>
    <row r="9">
      <c r="A9" s="15">
        <f>계산과정!A9</f>
        <v/>
      </c>
      <c r="B9" s="11">
        <f>계산과정!V9</f>
        <v/>
      </c>
      <c r="C9" s="12">
        <f>계산과정!W9</f>
        <v/>
      </c>
      <c r="D9" s="18">
        <f>계산과정!U9</f>
        <v/>
      </c>
      <c r="E9" s="18">
        <f>D9*C9</f>
        <v/>
      </c>
      <c r="F9" s="17">
        <f>원데이터!N9</f>
        <v/>
      </c>
      <c r="G9" s="17">
        <f>L8</f>
        <v/>
      </c>
      <c r="H9" s="17">
        <f>MAX(F9-G9, 0)</f>
        <v/>
      </c>
      <c r="I9" s="17">
        <f>MAX(G9-F9, 0)</f>
        <v/>
      </c>
      <c r="J9" s="18">
        <f>IF(I9&lt;=설정!$B$42, 1, (설정!$B$41-I9)/(설정!$B$41-설정!$B$42))</f>
        <v/>
      </c>
      <c r="K9" s="18">
        <f>J9*E9</f>
        <v/>
      </c>
      <c r="L9" s="17">
        <f>MIN(I9+K9, 설정!$B$41)</f>
        <v/>
      </c>
      <c r="M9" s="8">
        <f>IF(L9&gt;=설정!$B$42,"●","")</f>
        <v/>
      </c>
      <c r="N9" s="17">
        <f>IF(M9="●",L9,0)</f>
        <v/>
      </c>
      <c r="O9" s="17">
        <f>IF(N9&gt;0,N9/설정!$B$44,0)</f>
        <v/>
      </c>
    </row>
    <row r="10">
      <c r="A10" s="15">
        <f>계산과정!A10</f>
        <v/>
      </c>
      <c r="B10" s="11">
        <f>계산과정!V10</f>
        <v/>
      </c>
      <c r="C10" s="12">
        <f>계산과정!W10</f>
        <v/>
      </c>
      <c r="D10" s="18">
        <f>계산과정!U10</f>
        <v/>
      </c>
      <c r="E10" s="18">
        <f>D10*C10</f>
        <v/>
      </c>
      <c r="F10" s="17">
        <f>원데이터!N10</f>
        <v/>
      </c>
      <c r="G10" s="17">
        <f>L9</f>
        <v/>
      </c>
      <c r="H10" s="17">
        <f>MAX(F10-G10, 0)</f>
        <v/>
      </c>
      <c r="I10" s="17">
        <f>MAX(G10-F10, 0)</f>
        <v/>
      </c>
      <c r="J10" s="18">
        <f>IF(I10&lt;=설정!$B$42, 1, (설정!$B$41-I10)/(설정!$B$41-설정!$B$42))</f>
        <v/>
      </c>
      <c r="K10" s="18">
        <f>J10*E10</f>
        <v/>
      </c>
      <c r="L10" s="17">
        <f>MIN(I10+K10, 설정!$B$41)</f>
        <v/>
      </c>
      <c r="M10" s="8">
        <f>IF(L10&gt;=설정!$B$42,"●","")</f>
        <v/>
      </c>
      <c r="N10" s="17">
        <f>IF(M10="●",L10,0)</f>
        <v/>
      </c>
      <c r="O10" s="17">
        <f>IF(N10&gt;0,N10/설정!$B$44,0)</f>
        <v/>
      </c>
    </row>
    <row r="11">
      <c r="A11" s="15">
        <f>계산과정!A11</f>
        <v/>
      </c>
      <c r="B11" s="11">
        <f>계산과정!V11</f>
        <v/>
      </c>
      <c r="C11" s="12">
        <f>계산과정!W11</f>
        <v/>
      </c>
      <c r="D11" s="18">
        <f>계산과정!U11</f>
        <v/>
      </c>
      <c r="E11" s="18">
        <f>D11*C11</f>
        <v/>
      </c>
      <c r="F11" s="17">
        <f>원데이터!N11</f>
        <v/>
      </c>
      <c r="G11" s="17">
        <f>L10</f>
        <v/>
      </c>
      <c r="H11" s="17">
        <f>MAX(F11-G11, 0)</f>
        <v/>
      </c>
      <c r="I11" s="17">
        <f>MAX(G11-F11, 0)</f>
        <v/>
      </c>
      <c r="J11" s="18">
        <f>IF(I11&lt;=설정!$B$42, 1, (설정!$B$41-I11)/(설정!$B$41-설정!$B$42))</f>
        <v/>
      </c>
      <c r="K11" s="18">
        <f>J11*E11</f>
        <v/>
      </c>
      <c r="L11" s="17">
        <f>MIN(I11+K11, 설정!$B$41)</f>
        <v/>
      </c>
      <c r="M11" s="8">
        <f>IF(L11&gt;=설정!$B$42,"●","")</f>
        <v/>
      </c>
      <c r="N11" s="17">
        <f>IF(M11="●",L11,0)</f>
        <v/>
      </c>
      <c r="O11" s="17">
        <f>IF(N11&gt;0,N11/설정!$B$44,0)</f>
        <v/>
      </c>
    </row>
    <row r="12">
      <c r="A12" s="15">
        <f>계산과정!A12</f>
        <v/>
      </c>
      <c r="B12" s="11">
        <f>계산과정!V12</f>
        <v/>
      </c>
      <c r="C12" s="12">
        <f>계산과정!W12</f>
        <v/>
      </c>
      <c r="D12" s="18">
        <f>계산과정!U12</f>
        <v/>
      </c>
      <c r="E12" s="18">
        <f>D12*C12</f>
        <v/>
      </c>
      <c r="F12" s="17">
        <f>원데이터!N12</f>
        <v/>
      </c>
      <c r="G12" s="17">
        <f>L11</f>
        <v/>
      </c>
      <c r="H12" s="17">
        <f>MAX(F12-G12, 0)</f>
        <v/>
      </c>
      <c r="I12" s="17">
        <f>MAX(G12-F12, 0)</f>
        <v/>
      </c>
      <c r="J12" s="18">
        <f>IF(I12&lt;=설정!$B$42, 1, (설정!$B$41-I12)/(설정!$B$41-설정!$B$42))</f>
        <v/>
      </c>
      <c r="K12" s="18">
        <f>J12*E12</f>
        <v/>
      </c>
      <c r="L12" s="17">
        <f>MIN(I12+K12, 설정!$B$41)</f>
        <v/>
      </c>
      <c r="M12" s="8">
        <f>IF(L12&gt;=설정!$B$42,"●","")</f>
        <v/>
      </c>
      <c r="N12" s="17">
        <f>IF(M12="●",L12,0)</f>
        <v/>
      </c>
      <c r="O12" s="17">
        <f>IF(N12&gt;0,N12/설정!$B$44,0)</f>
        <v/>
      </c>
    </row>
    <row r="13">
      <c r="A13" s="15">
        <f>계산과정!A13</f>
        <v/>
      </c>
      <c r="B13" s="11">
        <f>계산과정!V13</f>
        <v/>
      </c>
      <c r="C13" s="12">
        <f>계산과정!W13</f>
        <v/>
      </c>
      <c r="D13" s="18">
        <f>계산과정!U13</f>
        <v/>
      </c>
      <c r="E13" s="18">
        <f>D13*C13</f>
        <v/>
      </c>
      <c r="F13" s="17">
        <f>원데이터!N13</f>
        <v/>
      </c>
      <c r="G13" s="17">
        <f>L12</f>
        <v/>
      </c>
      <c r="H13" s="17">
        <f>MAX(F13-G13, 0)</f>
        <v/>
      </c>
      <c r="I13" s="17">
        <f>MAX(G13-F13, 0)</f>
        <v/>
      </c>
      <c r="J13" s="18">
        <f>IF(I13&lt;=설정!$B$42, 1, (설정!$B$41-I13)/(설정!$B$41-설정!$B$42))</f>
        <v/>
      </c>
      <c r="K13" s="18">
        <f>J13*E13</f>
        <v/>
      </c>
      <c r="L13" s="17">
        <f>MIN(I13+K13, 설정!$B$41)</f>
        <v/>
      </c>
      <c r="M13" s="8">
        <f>IF(L13&gt;=설정!$B$42,"●","")</f>
        <v/>
      </c>
      <c r="N13" s="17">
        <f>IF(M13="●",L13,0)</f>
        <v/>
      </c>
      <c r="O13" s="17">
        <f>IF(N13&gt;0,N13/설정!$B$44,0)</f>
        <v/>
      </c>
    </row>
    <row r="14">
      <c r="A14" s="15">
        <f>계산과정!A14</f>
        <v/>
      </c>
      <c r="B14" s="11">
        <f>계산과정!V14</f>
        <v/>
      </c>
      <c r="C14" s="12">
        <f>계산과정!W14</f>
        <v/>
      </c>
      <c r="D14" s="18">
        <f>계산과정!U14</f>
        <v/>
      </c>
      <c r="E14" s="18">
        <f>D14*C14</f>
        <v/>
      </c>
      <c r="F14" s="17">
        <f>원데이터!N14</f>
        <v/>
      </c>
      <c r="G14" s="17">
        <f>L13</f>
        <v/>
      </c>
      <c r="H14" s="17">
        <f>MAX(F14-G14, 0)</f>
        <v/>
      </c>
      <c r="I14" s="17">
        <f>MAX(G14-F14, 0)</f>
        <v/>
      </c>
      <c r="J14" s="18">
        <f>IF(I14&lt;=설정!$B$42, 1, (설정!$B$41-I14)/(설정!$B$41-설정!$B$42))</f>
        <v/>
      </c>
      <c r="K14" s="18">
        <f>J14*E14</f>
        <v/>
      </c>
      <c r="L14" s="17">
        <f>MIN(I14+K14, 설정!$B$41)</f>
        <v/>
      </c>
      <c r="M14" s="8">
        <f>IF(L14&gt;=설정!$B$42,"●","")</f>
        <v/>
      </c>
      <c r="N14" s="17">
        <f>IF(M14="●",L14,0)</f>
        <v/>
      </c>
      <c r="O14" s="17">
        <f>IF(N14&gt;0,N14/설정!$B$44,0)</f>
        <v/>
      </c>
    </row>
    <row r="15">
      <c r="A15" s="15">
        <f>계산과정!A15</f>
        <v/>
      </c>
      <c r="B15" s="11">
        <f>계산과정!V15</f>
        <v/>
      </c>
      <c r="C15" s="12">
        <f>계산과정!W15</f>
        <v/>
      </c>
      <c r="D15" s="18">
        <f>계산과정!U15</f>
        <v/>
      </c>
      <c r="E15" s="18">
        <f>D15*C15</f>
        <v/>
      </c>
      <c r="F15" s="17">
        <f>원데이터!N15</f>
        <v/>
      </c>
      <c r="G15" s="17">
        <f>L14</f>
        <v/>
      </c>
      <c r="H15" s="17">
        <f>MAX(F15-G15, 0)</f>
        <v/>
      </c>
      <c r="I15" s="17">
        <f>MAX(G15-F15, 0)</f>
        <v/>
      </c>
      <c r="J15" s="18">
        <f>IF(I15&lt;=설정!$B$42, 1, (설정!$B$41-I15)/(설정!$B$41-설정!$B$42))</f>
        <v/>
      </c>
      <c r="K15" s="18">
        <f>J15*E15</f>
        <v/>
      </c>
      <c r="L15" s="17">
        <f>MIN(I15+K15, 설정!$B$41)</f>
        <v/>
      </c>
      <c r="M15" s="8">
        <f>IF(L15&gt;=설정!$B$42,"●","")</f>
        <v/>
      </c>
      <c r="N15" s="17">
        <f>IF(M15="●",L15,0)</f>
        <v/>
      </c>
      <c r="O15" s="17">
        <f>IF(N15&gt;0,N15/설정!$B$44,0)</f>
        <v/>
      </c>
    </row>
    <row r="16">
      <c r="A16" s="15">
        <f>계산과정!A16</f>
        <v/>
      </c>
      <c r="B16" s="11">
        <f>계산과정!V16</f>
        <v/>
      </c>
      <c r="C16" s="12">
        <f>계산과정!W16</f>
        <v/>
      </c>
      <c r="D16" s="18">
        <f>계산과정!U16</f>
        <v/>
      </c>
      <c r="E16" s="18">
        <f>D16*C16</f>
        <v/>
      </c>
      <c r="F16" s="17">
        <f>원데이터!N16</f>
        <v/>
      </c>
      <c r="G16" s="17">
        <f>L15</f>
        <v/>
      </c>
      <c r="H16" s="17">
        <f>MAX(F16-G16, 0)</f>
        <v/>
      </c>
      <c r="I16" s="17">
        <f>MAX(G16-F16, 0)</f>
        <v/>
      </c>
      <c r="J16" s="18">
        <f>IF(I16&lt;=설정!$B$42, 1, (설정!$B$41-I16)/(설정!$B$41-설정!$B$42))</f>
        <v/>
      </c>
      <c r="K16" s="18">
        <f>J16*E16</f>
        <v/>
      </c>
      <c r="L16" s="17">
        <f>MIN(I16+K16, 설정!$B$41)</f>
        <v/>
      </c>
      <c r="M16" s="8">
        <f>IF(L16&gt;=설정!$B$42,"●","")</f>
        <v/>
      </c>
      <c r="N16" s="17">
        <f>IF(M16="●",L16,0)</f>
        <v/>
      </c>
      <c r="O16" s="17">
        <f>IF(N16&gt;0,N16/설정!$B$44,0)</f>
        <v/>
      </c>
    </row>
    <row r="17">
      <c r="A17" s="15">
        <f>계산과정!A17</f>
        <v/>
      </c>
      <c r="B17" s="11">
        <f>계산과정!V17</f>
        <v/>
      </c>
      <c r="C17" s="12">
        <f>계산과정!W17</f>
        <v/>
      </c>
      <c r="D17" s="18">
        <f>계산과정!U17</f>
        <v/>
      </c>
      <c r="E17" s="18">
        <f>D17*C17</f>
        <v/>
      </c>
      <c r="F17" s="17">
        <f>원데이터!N17</f>
        <v/>
      </c>
      <c r="G17" s="17">
        <f>L16</f>
        <v/>
      </c>
      <c r="H17" s="17">
        <f>MAX(F17-G17, 0)</f>
        <v/>
      </c>
      <c r="I17" s="17">
        <f>MAX(G17-F17, 0)</f>
        <v/>
      </c>
      <c r="J17" s="18">
        <f>IF(I17&lt;=설정!$B$42, 1, (설정!$B$41-I17)/(설정!$B$41-설정!$B$42))</f>
        <v/>
      </c>
      <c r="K17" s="18">
        <f>J17*E17</f>
        <v/>
      </c>
      <c r="L17" s="17">
        <f>MIN(I17+K17, 설정!$B$41)</f>
        <v/>
      </c>
      <c r="M17" s="8">
        <f>IF(L17&gt;=설정!$B$42,"●","")</f>
        <v/>
      </c>
      <c r="N17" s="17">
        <f>IF(M17="●",L17,0)</f>
        <v/>
      </c>
      <c r="O17" s="17">
        <f>IF(N17&gt;0,N17/설정!$B$44,0)</f>
        <v/>
      </c>
    </row>
    <row r="18">
      <c r="A18" s="15">
        <f>계산과정!A18</f>
        <v/>
      </c>
      <c r="B18" s="11">
        <f>계산과정!V18</f>
        <v/>
      </c>
      <c r="C18" s="12">
        <f>계산과정!W18</f>
        <v/>
      </c>
      <c r="D18" s="18">
        <f>계산과정!U18</f>
        <v/>
      </c>
      <c r="E18" s="18">
        <f>D18*C18</f>
        <v/>
      </c>
      <c r="F18" s="17">
        <f>원데이터!N18</f>
        <v/>
      </c>
      <c r="G18" s="17">
        <f>L17</f>
        <v/>
      </c>
      <c r="H18" s="17">
        <f>MAX(F18-G18, 0)</f>
        <v/>
      </c>
      <c r="I18" s="17">
        <f>MAX(G18-F18, 0)</f>
        <v/>
      </c>
      <c r="J18" s="18">
        <f>IF(I18&lt;=설정!$B$42, 1, (설정!$B$41-I18)/(설정!$B$41-설정!$B$42))</f>
        <v/>
      </c>
      <c r="K18" s="18">
        <f>J18*E18</f>
        <v/>
      </c>
      <c r="L18" s="17">
        <f>MIN(I18+K18, 설정!$B$41)</f>
        <v/>
      </c>
      <c r="M18" s="8">
        <f>IF(L18&gt;=설정!$B$42,"●","")</f>
        <v/>
      </c>
      <c r="N18" s="17">
        <f>IF(M18="●",L18,0)</f>
        <v/>
      </c>
      <c r="O18" s="17">
        <f>IF(N18&gt;0,N18/설정!$B$44,0)</f>
        <v/>
      </c>
    </row>
    <row r="19">
      <c r="A19" s="15">
        <f>계산과정!A19</f>
        <v/>
      </c>
      <c r="B19" s="11">
        <f>계산과정!V19</f>
        <v/>
      </c>
      <c r="C19" s="12">
        <f>계산과정!W19</f>
        <v/>
      </c>
      <c r="D19" s="18">
        <f>계산과정!U19</f>
        <v/>
      </c>
      <c r="E19" s="18">
        <f>D19*C19</f>
        <v/>
      </c>
      <c r="F19" s="17">
        <f>원데이터!N19</f>
        <v/>
      </c>
      <c r="G19" s="17">
        <f>L18</f>
        <v/>
      </c>
      <c r="H19" s="17">
        <f>MAX(F19-G19, 0)</f>
        <v/>
      </c>
      <c r="I19" s="17">
        <f>MAX(G19-F19, 0)</f>
        <v/>
      </c>
      <c r="J19" s="18">
        <f>IF(I19&lt;=설정!$B$42, 1, (설정!$B$41-I19)/(설정!$B$41-설정!$B$42))</f>
        <v/>
      </c>
      <c r="K19" s="18">
        <f>J19*E19</f>
        <v/>
      </c>
      <c r="L19" s="17">
        <f>MIN(I19+K19, 설정!$B$41)</f>
        <v/>
      </c>
      <c r="M19" s="8">
        <f>IF(L19&gt;=설정!$B$42,"●","")</f>
        <v/>
      </c>
      <c r="N19" s="17">
        <f>IF(M19="●",L19,0)</f>
        <v/>
      </c>
      <c r="O19" s="17">
        <f>IF(N19&gt;0,N19/설정!$B$44,0)</f>
        <v/>
      </c>
    </row>
    <row r="20">
      <c r="A20" s="15">
        <f>계산과정!A20</f>
        <v/>
      </c>
      <c r="B20" s="11">
        <f>계산과정!V20</f>
        <v/>
      </c>
      <c r="C20" s="12">
        <f>계산과정!W20</f>
        <v/>
      </c>
      <c r="D20" s="18">
        <f>계산과정!U20</f>
        <v/>
      </c>
      <c r="E20" s="18">
        <f>D20*C20</f>
        <v/>
      </c>
      <c r="F20" s="17">
        <f>원데이터!N20</f>
        <v/>
      </c>
      <c r="G20" s="17">
        <f>L19</f>
        <v/>
      </c>
      <c r="H20" s="17">
        <f>MAX(F20-G20, 0)</f>
        <v/>
      </c>
      <c r="I20" s="17">
        <f>MAX(G20-F20, 0)</f>
        <v/>
      </c>
      <c r="J20" s="18">
        <f>IF(I20&lt;=설정!$B$42, 1, (설정!$B$41-I20)/(설정!$B$41-설정!$B$42))</f>
        <v/>
      </c>
      <c r="K20" s="18">
        <f>J20*E20</f>
        <v/>
      </c>
      <c r="L20" s="17">
        <f>MIN(I20+K20, 설정!$B$41)</f>
        <v/>
      </c>
      <c r="M20" s="8">
        <f>IF(L20&gt;=설정!$B$42,"●","")</f>
        <v/>
      </c>
      <c r="N20" s="17">
        <f>IF(M20="●",L20,0)</f>
        <v/>
      </c>
      <c r="O20" s="17">
        <f>IF(N20&gt;0,N20/설정!$B$44,0)</f>
        <v/>
      </c>
    </row>
    <row r="21">
      <c r="A21" s="15">
        <f>계산과정!A21</f>
        <v/>
      </c>
      <c r="B21" s="11">
        <f>계산과정!V21</f>
        <v/>
      </c>
      <c r="C21" s="12">
        <f>계산과정!W21</f>
        <v/>
      </c>
      <c r="D21" s="18">
        <f>계산과정!U21</f>
        <v/>
      </c>
      <c r="E21" s="18">
        <f>D21*C21</f>
        <v/>
      </c>
      <c r="F21" s="17">
        <f>원데이터!N21</f>
        <v/>
      </c>
      <c r="G21" s="17">
        <f>L20</f>
        <v/>
      </c>
      <c r="H21" s="17">
        <f>MAX(F21-G21, 0)</f>
        <v/>
      </c>
      <c r="I21" s="17">
        <f>MAX(G21-F21, 0)</f>
        <v/>
      </c>
      <c r="J21" s="18">
        <f>IF(I21&lt;=설정!$B$42, 1, (설정!$B$41-I21)/(설정!$B$41-설정!$B$42))</f>
        <v/>
      </c>
      <c r="K21" s="18">
        <f>J21*E21</f>
        <v/>
      </c>
      <c r="L21" s="17">
        <f>MIN(I21+K21, 설정!$B$41)</f>
        <v/>
      </c>
      <c r="M21" s="8">
        <f>IF(L21&gt;=설정!$B$42,"●","")</f>
        <v/>
      </c>
      <c r="N21" s="17">
        <f>IF(M21="●",L21,0)</f>
        <v/>
      </c>
      <c r="O21" s="17">
        <f>IF(N21&gt;0,N21/설정!$B$44,0)</f>
        <v/>
      </c>
    </row>
    <row r="22">
      <c r="A22" s="15">
        <f>계산과정!A22</f>
        <v/>
      </c>
      <c r="B22" s="11">
        <f>계산과정!V22</f>
        <v/>
      </c>
      <c r="C22" s="12">
        <f>계산과정!W22</f>
        <v/>
      </c>
      <c r="D22" s="18">
        <f>계산과정!U22</f>
        <v/>
      </c>
      <c r="E22" s="18">
        <f>D22*C22</f>
        <v/>
      </c>
      <c r="F22" s="17">
        <f>원데이터!N22</f>
        <v/>
      </c>
      <c r="G22" s="17">
        <f>L21</f>
        <v/>
      </c>
      <c r="H22" s="17">
        <f>MAX(F22-G22, 0)</f>
        <v/>
      </c>
      <c r="I22" s="17">
        <f>MAX(G22-F22, 0)</f>
        <v/>
      </c>
      <c r="J22" s="18">
        <f>IF(I22&lt;=설정!$B$42, 1, (설정!$B$41-I22)/(설정!$B$41-설정!$B$42))</f>
        <v/>
      </c>
      <c r="K22" s="18">
        <f>J22*E22</f>
        <v/>
      </c>
      <c r="L22" s="17">
        <f>MIN(I22+K22, 설정!$B$41)</f>
        <v/>
      </c>
      <c r="M22" s="8">
        <f>IF(L22&gt;=설정!$B$42,"●","")</f>
        <v/>
      </c>
      <c r="N22" s="17">
        <f>IF(M22="●",L22,0)</f>
        <v/>
      </c>
      <c r="O22" s="17">
        <f>IF(N22&gt;0,N22/설정!$B$44,0)</f>
        <v/>
      </c>
    </row>
    <row r="23">
      <c r="A23" s="15">
        <f>계산과정!A23</f>
        <v/>
      </c>
      <c r="B23" s="11">
        <f>계산과정!V23</f>
        <v/>
      </c>
      <c r="C23" s="12">
        <f>계산과정!W23</f>
        <v/>
      </c>
      <c r="D23" s="18">
        <f>계산과정!U23</f>
        <v/>
      </c>
      <c r="E23" s="18">
        <f>D23*C23</f>
        <v/>
      </c>
      <c r="F23" s="17">
        <f>원데이터!N23</f>
        <v/>
      </c>
      <c r="G23" s="17">
        <f>L22</f>
        <v/>
      </c>
      <c r="H23" s="17">
        <f>MAX(F23-G23, 0)</f>
        <v/>
      </c>
      <c r="I23" s="17">
        <f>MAX(G23-F23, 0)</f>
        <v/>
      </c>
      <c r="J23" s="18">
        <f>IF(I23&lt;=설정!$B$42, 1, (설정!$B$41-I23)/(설정!$B$41-설정!$B$42))</f>
        <v/>
      </c>
      <c r="K23" s="18">
        <f>J23*E23</f>
        <v/>
      </c>
      <c r="L23" s="17">
        <f>MIN(I23+K23, 설정!$B$41)</f>
        <v/>
      </c>
      <c r="M23" s="8">
        <f>IF(L23&gt;=설정!$B$42,"●","")</f>
        <v/>
      </c>
      <c r="N23" s="17">
        <f>IF(M23="●",L23,0)</f>
        <v/>
      </c>
      <c r="O23" s="17">
        <f>IF(N23&gt;0,N23/설정!$B$44,0)</f>
        <v/>
      </c>
    </row>
    <row r="24">
      <c r="A24" s="15">
        <f>계산과정!A24</f>
        <v/>
      </c>
      <c r="B24" s="11">
        <f>계산과정!V24</f>
        <v/>
      </c>
      <c r="C24" s="12">
        <f>계산과정!W24</f>
        <v/>
      </c>
      <c r="D24" s="18">
        <f>계산과정!U24</f>
        <v/>
      </c>
      <c r="E24" s="18">
        <f>D24*C24</f>
        <v/>
      </c>
      <c r="F24" s="17">
        <f>원데이터!N24</f>
        <v/>
      </c>
      <c r="G24" s="17">
        <f>L23</f>
        <v/>
      </c>
      <c r="H24" s="17">
        <f>MAX(F24-G24, 0)</f>
        <v/>
      </c>
      <c r="I24" s="17">
        <f>MAX(G24-F24, 0)</f>
        <v/>
      </c>
      <c r="J24" s="18">
        <f>IF(I24&lt;=설정!$B$42, 1, (설정!$B$41-I24)/(설정!$B$41-설정!$B$42))</f>
        <v/>
      </c>
      <c r="K24" s="18">
        <f>J24*E24</f>
        <v/>
      </c>
      <c r="L24" s="17">
        <f>MIN(I24+K24, 설정!$B$41)</f>
        <v/>
      </c>
      <c r="M24" s="8">
        <f>IF(L24&gt;=설정!$B$42,"●","")</f>
        <v/>
      </c>
      <c r="N24" s="17">
        <f>IF(M24="●",L24,0)</f>
        <v/>
      </c>
      <c r="O24" s="17">
        <f>IF(N24&gt;0,N24/설정!$B$44,0)</f>
        <v/>
      </c>
    </row>
    <row r="25">
      <c r="A25" s="15">
        <f>계산과정!A25</f>
        <v/>
      </c>
      <c r="B25" s="11">
        <f>계산과정!V25</f>
        <v/>
      </c>
      <c r="C25" s="12">
        <f>계산과정!W25</f>
        <v/>
      </c>
      <c r="D25" s="18">
        <f>계산과정!U25</f>
        <v/>
      </c>
      <c r="E25" s="18">
        <f>D25*C25</f>
        <v/>
      </c>
      <c r="F25" s="17">
        <f>원데이터!N25</f>
        <v/>
      </c>
      <c r="G25" s="17">
        <f>L24</f>
        <v/>
      </c>
      <c r="H25" s="17">
        <f>MAX(F25-G25, 0)</f>
        <v/>
      </c>
      <c r="I25" s="17">
        <f>MAX(G25-F25, 0)</f>
        <v/>
      </c>
      <c r="J25" s="18">
        <f>IF(I25&lt;=설정!$B$42, 1, (설정!$B$41-I25)/(설정!$B$41-설정!$B$42))</f>
        <v/>
      </c>
      <c r="K25" s="18">
        <f>J25*E25</f>
        <v/>
      </c>
      <c r="L25" s="17">
        <f>MIN(I25+K25, 설정!$B$41)</f>
        <v/>
      </c>
      <c r="M25" s="8">
        <f>IF(L25&gt;=설정!$B$42,"●","")</f>
        <v/>
      </c>
      <c r="N25" s="17">
        <f>IF(M25="●",L25,0)</f>
        <v/>
      </c>
      <c r="O25" s="17">
        <f>IF(N25&gt;0,N25/설정!$B$44,0)</f>
        <v/>
      </c>
    </row>
    <row r="26">
      <c r="A26" s="15">
        <f>계산과정!A26</f>
        <v/>
      </c>
      <c r="B26" s="11">
        <f>계산과정!V26</f>
        <v/>
      </c>
      <c r="C26" s="12">
        <f>계산과정!W26</f>
        <v/>
      </c>
      <c r="D26" s="18">
        <f>계산과정!U26</f>
        <v/>
      </c>
      <c r="E26" s="18">
        <f>D26*C26</f>
        <v/>
      </c>
      <c r="F26" s="17">
        <f>원데이터!N26</f>
        <v/>
      </c>
      <c r="G26" s="17">
        <f>L25</f>
        <v/>
      </c>
      <c r="H26" s="17">
        <f>MAX(F26-G26, 0)</f>
        <v/>
      </c>
      <c r="I26" s="17">
        <f>MAX(G26-F26, 0)</f>
        <v/>
      </c>
      <c r="J26" s="18">
        <f>IF(I26&lt;=설정!$B$42, 1, (설정!$B$41-I26)/(설정!$B$41-설정!$B$42))</f>
        <v/>
      </c>
      <c r="K26" s="18">
        <f>J26*E26</f>
        <v/>
      </c>
      <c r="L26" s="17">
        <f>MIN(I26+K26, 설정!$B$41)</f>
        <v/>
      </c>
      <c r="M26" s="8">
        <f>IF(L26&gt;=설정!$B$42,"●","")</f>
        <v/>
      </c>
      <c r="N26" s="17">
        <f>IF(M26="●",L26,0)</f>
        <v/>
      </c>
      <c r="O26" s="17">
        <f>IF(N26&gt;0,N26/설정!$B$44,0)</f>
        <v/>
      </c>
    </row>
    <row r="27">
      <c r="A27" s="15">
        <f>계산과정!A27</f>
        <v/>
      </c>
      <c r="B27" s="11">
        <f>계산과정!V27</f>
        <v/>
      </c>
      <c r="C27" s="12">
        <f>계산과정!W27</f>
        <v/>
      </c>
      <c r="D27" s="18">
        <f>계산과정!U27</f>
        <v/>
      </c>
      <c r="E27" s="18">
        <f>D27*C27</f>
        <v/>
      </c>
      <c r="F27" s="17">
        <f>원데이터!N27</f>
        <v/>
      </c>
      <c r="G27" s="17">
        <f>L26</f>
        <v/>
      </c>
      <c r="H27" s="17">
        <f>MAX(F27-G27, 0)</f>
        <v/>
      </c>
      <c r="I27" s="17">
        <f>MAX(G27-F27, 0)</f>
        <v/>
      </c>
      <c r="J27" s="18">
        <f>IF(I27&lt;=설정!$B$42, 1, (설정!$B$41-I27)/(설정!$B$41-설정!$B$42))</f>
        <v/>
      </c>
      <c r="K27" s="18">
        <f>J27*E27</f>
        <v/>
      </c>
      <c r="L27" s="17">
        <f>MIN(I27+K27, 설정!$B$41)</f>
        <v/>
      </c>
      <c r="M27" s="8">
        <f>IF(L27&gt;=설정!$B$42,"●","")</f>
        <v/>
      </c>
      <c r="N27" s="17">
        <f>IF(M27="●",L27,0)</f>
        <v/>
      </c>
      <c r="O27" s="17">
        <f>IF(N27&gt;0,N27/설정!$B$44,0)</f>
        <v/>
      </c>
    </row>
    <row r="28">
      <c r="A28" s="15">
        <f>계산과정!A28</f>
        <v/>
      </c>
      <c r="B28" s="11">
        <f>계산과정!V28</f>
        <v/>
      </c>
      <c r="C28" s="12">
        <f>계산과정!W28</f>
        <v/>
      </c>
      <c r="D28" s="18">
        <f>계산과정!U28</f>
        <v/>
      </c>
      <c r="E28" s="18">
        <f>D28*C28</f>
        <v/>
      </c>
      <c r="F28" s="17">
        <f>원데이터!N28</f>
        <v/>
      </c>
      <c r="G28" s="17">
        <f>L27</f>
        <v/>
      </c>
      <c r="H28" s="17">
        <f>MAX(F28-G28, 0)</f>
        <v/>
      </c>
      <c r="I28" s="17">
        <f>MAX(G28-F28, 0)</f>
        <v/>
      </c>
      <c r="J28" s="18">
        <f>IF(I28&lt;=설정!$B$42, 1, (설정!$B$41-I28)/(설정!$B$41-설정!$B$42))</f>
        <v/>
      </c>
      <c r="K28" s="18">
        <f>J28*E28</f>
        <v/>
      </c>
      <c r="L28" s="17">
        <f>MIN(I28+K28, 설정!$B$41)</f>
        <v/>
      </c>
      <c r="M28" s="8">
        <f>IF(L28&gt;=설정!$B$42,"●","")</f>
        <v/>
      </c>
      <c r="N28" s="17">
        <f>IF(M28="●",L28,0)</f>
        <v/>
      </c>
      <c r="O28" s="17">
        <f>IF(N28&gt;0,N28/설정!$B$44,0)</f>
        <v/>
      </c>
    </row>
    <row r="29">
      <c r="A29" s="15">
        <f>계산과정!A29</f>
        <v/>
      </c>
      <c r="B29" s="11">
        <f>계산과정!V29</f>
        <v/>
      </c>
      <c r="C29" s="12">
        <f>계산과정!W29</f>
        <v/>
      </c>
      <c r="D29" s="18">
        <f>계산과정!U29</f>
        <v/>
      </c>
      <c r="E29" s="18">
        <f>D29*C29</f>
        <v/>
      </c>
      <c r="F29" s="17">
        <f>원데이터!N29</f>
        <v/>
      </c>
      <c r="G29" s="17">
        <f>L28</f>
        <v/>
      </c>
      <c r="H29" s="17">
        <f>MAX(F29-G29, 0)</f>
        <v/>
      </c>
      <c r="I29" s="17">
        <f>MAX(G29-F29, 0)</f>
        <v/>
      </c>
      <c r="J29" s="18">
        <f>IF(I29&lt;=설정!$B$42, 1, (설정!$B$41-I29)/(설정!$B$41-설정!$B$42))</f>
        <v/>
      </c>
      <c r="K29" s="18">
        <f>J29*E29</f>
        <v/>
      </c>
      <c r="L29" s="17">
        <f>MIN(I29+K29, 설정!$B$41)</f>
        <v/>
      </c>
      <c r="M29" s="8">
        <f>IF(L29&gt;=설정!$B$42,"●","")</f>
        <v/>
      </c>
      <c r="N29" s="17">
        <f>IF(M29="●",L29,0)</f>
        <v/>
      </c>
      <c r="O29" s="17">
        <f>IF(N29&gt;0,N29/설정!$B$44,0)</f>
        <v/>
      </c>
    </row>
    <row r="30">
      <c r="A30" s="15">
        <f>계산과정!A30</f>
        <v/>
      </c>
      <c r="B30" s="11">
        <f>계산과정!V30</f>
        <v/>
      </c>
      <c r="C30" s="12">
        <f>계산과정!W30</f>
        <v/>
      </c>
      <c r="D30" s="18">
        <f>계산과정!U30</f>
        <v/>
      </c>
      <c r="E30" s="18">
        <f>D30*C30</f>
        <v/>
      </c>
      <c r="F30" s="17">
        <f>원데이터!N30</f>
        <v/>
      </c>
      <c r="G30" s="17">
        <f>L29</f>
        <v/>
      </c>
      <c r="H30" s="17">
        <f>MAX(F30-G30, 0)</f>
        <v/>
      </c>
      <c r="I30" s="17">
        <f>MAX(G30-F30, 0)</f>
        <v/>
      </c>
      <c r="J30" s="18">
        <f>IF(I30&lt;=설정!$B$42, 1, (설정!$B$41-I30)/(설정!$B$41-설정!$B$42))</f>
        <v/>
      </c>
      <c r="K30" s="18">
        <f>J30*E30</f>
        <v/>
      </c>
      <c r="L30" s="17">
        <f>MIN(I30+K30, 설정!$B$41)</f>
        <v/>
      </c>
      <c r="M30" s="8">
        <f>IF(L30&gt;=설정!$B$42,"●","")</f>
        <v/>
      </c>
      <c r="N30" s="17">
        <f>IF(M30="●",L30,0)</f>
        <v/>
      </c>
      <c r="O30" s="17">
        <f>IF(N30&gt;0,N30/설정!$B$44,0)</f>
        <v/>
      </c>
    </row>
    <row r="31">
      <c r="A31" s="15">
        <f>계산과정!A31</f>
        <v/>
      </c>
      <c r="B31" s="11">
        <f>계산과정!V31</f>
        <v/>
      </c>
      <c r="C31" s="12">
        <f>계산과정!W31</f>
        <v/>
      </c>
      <c r="D31" s="18">
        <f>계산과정!U31</f>
        <v/>
      </c>
      <c r="E31" s="18">
        <f>D31*C31</f>
        <v/>
      </c>
      <c r="F31" s="17">
        <f>원데이터!N31</f>
        <v/>
      </c>
      <c r="G31" s="17">
        <f>L30</f>
        <v/>
      </c>
      <c r="H31" s="17">
        <f>MAX(F31-G31, 0)</f>
        <v/>
      </c>
      <c r="I31" s="17">
        <f>MAX(G31-F31, 0)</f>
        <v/>
      </c>
      <c r="J31" s="18">
        <f>IF(I31&lt;=설정!$B$42, 1, (설정!$B$41-I31)/(설정!$B$41-설정!$B$42))</f>
        <v/>
      </c>
      <c r="K31" s="18">
        <f>J31*E31</f>
        <v/>
      </c>
      <c r="L31" s="17">
        <f>MIN(I31+K31, 설정!$B$41)</f>
        <v/>
      </c>
      <c r="M31" s="8">
        <f>IF(L31&gt;=설정!$B$42,"●","")</f>
        <v/>
      </c>
      <c r="N31" s="17">
        <f>IF(M31="●",L31,0)</f>
        <v/>
      </c>
      <c r="O31" s="17">
        <f>IF(N31&gt;0,N31/설정!$B$44,0)</f>
        <v/>
      </c>
    </row>
    <row r="32">
      <c r="A32" s="15">
        <f>계산과정!A32</f>
        <v/>
      </c>
      <c r="B32" s="11">
        <f>계산과정!V32</f>
        <v/>
      </c>
      <c r="C32" s="12">
        <f>계산과정!W32</f>
        <v/>
      </c>
      <c r="D32" s="18">
        <f>계산과정!U32</f>
        <v/>
      </c>
      <c r="E32" s="18">
        <f>D32*C32</f>
        <v/>
      </c>
      <c r="F32" s="17">
        <f>원데이터!N32</f>
        <v/>
      </c>
      <c r="G32" s="17">
        <f>L31</f>
        <v/>
      </c>
      <c r="H32" s="17">
        <f>MAX(F32-G32, 0)</f>
        <v/>
      </c>
      <c r="I32" s="17">
        <f>MAX(G32-F32, 0)</f>
        <v/>
      </c>
      <c r="J32" s="18">
        <f>IF(I32&lt;=설정!$B$42, 1, (설정!$B$41-I32)/(설정!$B$41-설정!$B$42))</f>
        <v/>
      </c>
      <c r="K32" s="18">
        <f>J32*E32</f>
        <v/>
      </c>
      <c r="L32" s="17">
        <f>MIN(I32+K32, 설정!$B$41)</f>
        <v/>
      </c>
      <c r="M32" s="8">
        <f>IF(L32&gt;=설정!$B$42,"●","")</f>
        <v/>
      </c>
      <c r="N32" s="17">
        <f>IF(M32="●",L32,0)</f>
        <v/>
      </c>
      <c r="O32" s="17">
        <f>IF(N32&gt;0,N32/설정!$B$44,0)</f>
        <v/>
      </c>
    </row>
    <row r="33">
      <c r="A33" s="15">
        <f>계산과정!A33</f>
        <v/>
      </c>
      <c r="B33" s="11">
        <f>계산과정!V33</f>
        <v/>
      </c>
      <c r="C33" s="12">
        <f>계산과정!W33</f>
        <v/>
      </c>
      <c r="D33" s="18">
        <f>계산과정!U33</f>
        <v/>
      </c>
      <c r="E33" s="18">
        <f>D33*C33</f>
        <v/>
      </c>
      <c r="F33" s="17">
        <f>원데이터!N33</f>
        <v/>
      </c>
      <c r="G33" s="17">
        <f>L32</f>
        <v/>
      </c>
      <c r="H33" s="17">
        <f>MAX(F33-G33, 0)</f>
        <v/>
      </c>
      <c r="I33" s="17">
        <f>MAX(G33-F33, 0)</f>
        <v/>
      </c>
      <c r="J33" s="18">
        <f>IF(I33&lt;=설정!$B$42, 1, (설정!$B$41-I33)/(설정!$B$41-설정!$B$42))</f>
        <v/>
      </c>
      <c r="K33" s="18">
        <f>J33*E33</f>
        <v/>
      </c>
      <c r="L33" s="17">
        <f>MIN(I33+K33, 설정!$B$41)</f>
        <v/>
      </c>
      <c r="M33" s="8">
        <f>IF(L33&gt;=설정!$B$42,"●","")</f>
        <v/>
      </c>
      <c r="N33" s="17">
        <f>IF(M33="●",L33,0)</f>
        <v/>
      </c>
      <c r="O33" s="17">
        <f>IF(N33&gt;0,N33/설정!$B$44,0)</f>
        <v/>
      </c>
    </row>
    <row r="34">
      <c r="A34" s="15">
        <f>계산과정!A34</f>
        <v/>
      </c>
      <c r="B34" s="11">
        <f>계산과정!V34</f>
        <v/>
      </c>
      <c r="C34" s="12">
        <f>계산과정!W34</f>
        <v/>
      </c>
      <c r="D34" s="18">
        <f>계산과정!U34</f>
        <v/>
      </c>
      <c r="E34" s="18">
        <f>D34*C34</f>
        <v/>
      </c>
      <c r="F34" s="17">
        <f>원데이터!N34</f>
        <v/>
      </c>
      <c r="G34" s="17">
        <f>L33</f>
        <v/>
      </c>
      <c r="H34" s="17">
        <f>MAX(F34-G34, 0)</f>
        <v/>
      </c>
      <c r="I34" s="17">
        <f>MAX(G34-F34, 0)</f>
        <v/>
      </c>
      <c r="J34" s="18">
        <f>IF(I34&lt;=설정!$B$42, 1, (설정!$B$41-I34)/(설정!$B$41-설정!$B$42))</f>
        <v/>
      </c>
      <c r="K34" s="18">
        <f>J34*E34</f>
        <v/>
      </c>
      <c r="L34" s="17">
        <f>MIN(I34+K34, 설정!$B$41)</f>
        <v/>
      </c>
      <c r="M34" s="8">
        <f>IF(L34&gt;=설정!$B$42,"●","")</f>
        <v/>
      </c>
      <c r="N34" s="17">
        <f>IF(M34="●",L34,0)</f>
        <v/>
      </c>
      <c r="O34" s="17">
        <f>IF(N34&gt;0,N34/설정!$B$44,0)</f>
        <v/>
      </c>
    </row>
    <row r="35">
      <c r="A35" s="15">
        <f>계산과정!A35</f>
        <v/>
      </c>
      <c r="B35" s="11">
        <f>계산과정!V35</f>
        <v/>
      </c>
      <c r="C35" s="12">
        <f>계산과정!W35</f>
        <v/>
      </c>
      <c r="D35" s="18">
        <f>계산과정!U35</f>
        <v/>
      </c>
      <c r="E35" s="18">
        <f>D35*C35</f>
        <v/>
      </c>
      <c r="F35" s="17">
        <f>원데이터!N35</f>
        <v/>
      </c>
      <c r="G35" s="17">
        <f>L34</f>
        <v/>
      </c>
      <c r="H35" s="17">
        <f>MAX(F35-G35, 0)</f>
        <v/>
      </c>
      <c r="I35" s="17">
        <f>MAX(G35-F35, 0)</f>
        <v/>
      </c>
      <c r="J35" s="18">
        <f>IF(I35&lt;=설정!$B$42, 1, (설정!$B$41-I35)/(설정!$B$41-설정!$B$42))</f>
        <v/>
      </c>
      <c r="K35" s="18">
        <f>J35*E35</f>
        <v/>
      </c>
      <c r="L35" s="17">
        <f>MIN(I35+K35, 설정!$B$41)</f>
        <v/>
      </c>
      <c r="M35" s="8">
        <f>IF(L35&gt;=설정!$B$42,"●","")</f>
        <v/>
      </c>
      <c r="N35" s="17">
        <f>IF(M35="●",L35,0)</f>
        <v/>
      </c>
      <c r="O35" s="17">
        <f>IF(N35&gt;0,N35/설정!$B$44,0)</f>
        <v/>
      </c>
    </row>
    <row r="36">
      <c r="A36" s="15">
        <f>계산과정!A36</f>
        <v/>
      </c>
      <c r="B36" s="11">
        <f>계산과정!V36</f>
        <v/>
      </c>
      <c r="C36" s="12">
        <f>계산과정!W36</f>
        <v/>
      </c>
      <c r="D36" s="18">
        <f>계산과정!U36</f>
        <v/>
      </c>
      <c r="E36" s="18">
        <f>D36*C36</f>
        <v/>
      </c>
      <c r="F36" s="17">
        <f>원데이터!N36</f>
        <v/>
      </c>
      <c r="G36" s="17">
        <f>L35</f>
        <v/>
      </c>
      <c r="H36" s="17">
        <f>MAX(F36-G36, 0)</f>
        <v/>
      </c>
      <c r="I36" s="17">
        <f>MAX(G36-F36, 0)</f>
        <v/>
      </c>
      <c r="J36" s="18">
        <f>IF(I36&lt;=설정!$B$42, 1, (설정!$B$41-I36)/(설정!$B$41-설정!$B$42))</f>
        <v/>
      </c>
      <c r="K36" s="18">
        <f>J36*E36</f>
        <v/>
      </c>
      <c r="L36" s="17">
        <f>MIN(I36+K36, 설정!$B$41)</f>
        <v/>
      </c>
      <c r="M36" s="8">
        <f>IF(L36&gt;=설정!$B$42,"●","")</f>
        <v/>
      </c>
      <c r="N36" s="17">
        <f>IF(M36="●",L36,0)</f>
        <v/>
      </c>
      <c r="O36" s="17">
        <f>IF(N36&gt;0,N36/설정!$B$44,0)</f>
        <v/>
      </c>
    </row>
    <row r="37">
      <c r="A37" s="15">
        <f>계산과정!A37</f>
        <v/>
      </c>
      <c r="B37" s="11">
        <f>계산과정!V37</f>
        <v/>
      </c>
      <c r="C37" s="12">
        <f>계산과정!W37</f>
        <v/>
      </c>
      <c r="D37" s="18">
        <f>계산과정!U37</f>
        <v/>
      </c>
      <c r="E37" s="18">
        <f>D37*C37</f>
        <v/>
      </c>
      <c r="F37" s="17">
        <f>원데이터!N37</f>
        <v/>
      </c>
      <c r="G37" s="17">
        <f>L36</f>
        <v/>
      </c>
      <c r="H37" s="17">
        <f>MAX(F37-G37, 0)</f>
        <v/>
      </c>
      <c r="I37" s="17">
        <f>MAX(G37-F37, 0)</f>
        <v/>
      </c>
      <c r="J37" s="18">
        <f>IF(I37&lt;=설정!$B$42, 1, (설정!$B$41-I37)/(설정!$B$41-설정!$B$42))</f>
        <v/>
      </c>
      <c r="K37" s="18">
        <f>J37*E37</f>
        <v/>
      </c>
      <c r="L37" s="17">
        <f>MIN(I37+K37, 설정!$B$41)</f>
        <v/>
      </c>
      <c r="M37" s="8">
        <f>IF(L37&gt;=설정!$B$42,"●","")</f>
        <v/>
      </c>
      <c r="N37" s="17">
        <f>IF(M37="●",L37,0)</f>
        <v/>
      </c>
      <c r="O37" s="17">
        <f>IF(N37&gt;0,N37/설정!$B$44,0)</f>
        <v/>
      </c>
    </row>
    <row r="38">
      <c r="A38" s="15">
        <f>계산과정!A38</f>
        <v/>
      </c>
      <c r="B38" s="11">
        <f>계산과정!V38</f>
        <v/>
      </c>
      <c r="C38" s="12">
        <f>계산과정!W38</f>
        <v/>
      </c>
      <c r="D38" s="18">
        <f>계산과정!U38</f>
        <v/>
      </c>
      <c r="E38" s="18">
        <f>D38*C38</f>
        <v/>
      </c>
      <c r="F38" s="17">
        <f>원데이터!N38</f>
        <v/>
      </c>
      <c r="G38" s="17">
        <f>L37</f>
        <v/>
      </c>
      <c r="H38" s="17">
        <f>MAX(F38-G38, 0)</f>
        <v/>
      </c>
      <c r="I38" s="17">
        <f>MAX(G38-F38, 0)</f>
        <v/>
      </c>
      <c r="J38" s="18">
        <f>IF(I38&lt;=설정!$B$42, 1, (설정!$B$41-I38)/(설정!$B$41-설정!$B$42))</f>
        <v/>
      </c>
      <c r="K38" s="18">
        <f>J38*E38</f>
        <v/>
      </c>
      <c r="L38" s="17">
        <f>MIN(I38+K38, 설정!$B$41)</f>
        <v/>
      </c>
      <c r="M38" s="8">
        <f>IF(L38&gt;=설정!$B$42,"●","")</f>
        <v/>
      </c>
      <c r="N38" s="17">
        <f>IF(M38="●",L38,0)</f>
        <v/>
      </c>
      <c r="O38" s="17">
        <f>IF(N38&gt;0,N38/설정!$B$44,0)</f>
        <v/>
      </c>
    </row>
    <row r="39">
      <c r="A39" s="15">
        <f>계산과정!A39</f>
        <v/>
      </c>
      <c r="B39" s="11">
        <f>계산과정!V39</f>
        <v/>
      </c>
      <c r="C39" s="12">
        <f>계산과정!W39</f>
        <v/>
      </c>
      <c r="D39" s="18">
        <f>계산과정!U39</f>
        <v/>
      </c>
      <c r="E39" s="18">
        <f>D39*C39</f>
        <v/>
      </c>
      <c r="F39" s="17">
        <f>원데이터!N39</f>
        <v/>
      </c>
      <c r="G39" s="17">
        <f>L38</f>
        <v/>
      </c>
      <c r="H39" s="17">
        <f>MAX(F39-G39, 0)</f>
        <v/>
      </c>
      <c r="I39" s="17">
        <f>MAX(G39-F39, 0)</f>
        <v/>
      </c>
      <c r="J39" s="18">
        <f>IF(I39&lt;=설정!$B$42, 1, (설정!$B$41-I39)/(설정!$B$41-설정!$B$42))</f>
        <v/>
      </c>
      <c r="K39" s="18">
        <f>J39*E39</f>
        <v/>
      </c>
      <c r="L39" s="17">
        <f>MIN(I39+K39, 설정!$B$41)</f>
        <v/>
      </c>
      <c r="M39" s="8">
        <f>IF(L39&gt;=설정!$B$42,"●","")</f>
        <v/>
      </c>
      <c r="N39" s="17">
        <f>IF(M39="●",L39,0)</f>
        <v/>
      </c>
      <c r="O39" s="17">
        <f>IF(N39&gt;0,N39/설정!$B$44,0)</f>
        <v/>
      </c>
    </row>
    <row r="40">
      <c r="A40" s="15">
        <f>계산과정!A40</f>
        <v/>
      </c>
      <c r="B40" s="11">
        <f>계산과정!V40</f>
        <v/>
      </c>
      <c r="C40" s="12">
        <f>계산과정!W40</f>
        <v/>
      </c>
      <c r="D40" s="18">
        <f>계산과정!U40</f>
        <v/>
      </c>
      <c r="E40" s="18">
        <f>D40*C40</f>
        <v/>
      </c>
      <c r="F40" s="17">
        <f>원데이터!N40</f>
        <v/>
      </c>
      <c r="G40" s="17">
        <f>L39</f>
        <v/>
      </c>
      <c r="H40" s="17">
        <f>MAX(F40-G40, 0)</f>
        <v/>
      </c>
      <c r="I40" s="17">
        <f>MAX(G40-F40, 0)</f>
        <v/>
      </c>
      <c r="J40" s="18">
        <f>IF(I40&lt;=설정!$B$42, 1, (설정!$B$41-I40)/(설정!$B$41-설정!$B$42))</f>
        <v/>
      </c>
      <c r="K40" s="18">
        <f>J40*E40</f>
        <v/>
      </c>
      <c r="L40" s="17">
        <f>MIN(I40+K40, 설정!$B$41)</f>
        <v/>
      </c>
      <c r="M40" s="8">
        <f>IF(L40&gt;=설정!$B$42,"●","")</f>
        <v/>
      </c>
      <c r="N40" s="17">
        <f>IF(M40="●",L40,0)</f>
        <v/>
      </c>
      <c r="O40" s="17">
        <f>IF(N40&gt;0,N40/설정!$B$44,0)</f>
        <v/>
      </c>
    </row>
    <row r="41">
      <c r="A41" s="15">
        <f>계산과정!A41</f>
        <v/>
      </c>
      <c r="B41" s="11">
        <f>계산과정!V41</f>
        <v/>
      </c>
      <c r="C41" s="12">
        <f>계산과정!W41</f>
        <v/>
      </c>
      <c r="D41" s="18">
        <f>계산과정!U41</f>
        <v/>
      </c>
      <c r="E41" s="18">
        <f>D41*C41</f>
        <v/>
      </c>
      <c r="F41" s="17">
        <f>원데이터!N41</f>
        <v/>
      </c>
      <c r="G41" s="17">
        <f>L40</f>
        <v/>
      </c>
      <c r="H41" s="17">
        <f>MAX(F41-G41, 0)</f>
        <v/>
      </c>
      <c r="I41" s="17">
        <f>MAX(G41-F41, 0)</f>
        <v/>
      </c>
      <c r="J41" s="18">
        <f>IF(I41&lt;=설정!$B$42, 1, (설정!$B$41-I41)/(설정!$B$41-설정!$B$42))</f>
        <v/>
      </c>
      <c r="K41" s="18">
        <f>J41*E41</f>
        <v/>
      </c>
      <c r="L41" s="17">
        <f>MIN(I41+K41, 설정!$B$41)</f>
        <v/>
      </c>
      <c r="M41" s="8">
        <f>IF(L41&gt;=설정!$B$42,"●","")</f>
        <v/>
      </c>
      <c r="N41" s="17">
        <f>IF(M41="●",L41,0)</f>
        <v/>
      </c>
      <c r="O41" s="17">
        <f>IF(N41&gt;0,N41/설정!$B$44,0)</f>
        <v/>
      </c>
    </row>
    <row r="42">
      <c r="A42" s="15">
        <f>계산과정!A42</f>
        <v/>
      </c>
      <c r="B42" s="11">
        <f>계산과정!V42</f>
        <v/>
      </c>
      <c r="C42" s="12">
        <f>계산과정!W42</f>
        <v/>
      </c>
      <c r="D42" s="18">
        <f>계산과정!U42</f>
        <v/>
      </c>
      <c r="E42" s="18">
        <f>D42*C42</f>
        <v/>
      </c>
      <c r="F42" s="17">
        <f>원데이터!N42</f>
        <v/>
      </c>
      <c r="G42" s="17">
        <f>L41</f>
        <v/>
      </c>
      <c r="H42" s="17">
        <f>MAX(F42-G42, 0)</f>
        <v/>
      </c>
      <c r="I42" s="17">
        <f>MAX(G42-F42, 0)</f>
        <v/>
      </c>
      <c r="J42" s="18">
        <f>IF(I42&lt;=설정!$B$42, 1, (설정!$B$41-I42)/(설정!$B$41-설정!$B$42))</f>
        <v/>
      </c>
      <c r="K42" s="18">
        <f>J42*E42</f>
        <v/>
      </c>
      <c r="L42" s="17">
        <f>MIN(I42+K42, 설정!$B$41)</f>
        <v/>
      </c>
      <c r="M42" s="8">
        <f>IF(L42&gt;=설정!$B$42,"●","")</f>
        <v/>
      </c>
      <c r="N42" s="17">
        <f>IF(M42="●",L42,0)</f>
        <v/>
      </c>
      <c r="O42" s="17">
        <f>IF(N42&gt;0,N42/설정!$B$44,0)</f>
        <v/>
      </c>
    </row>
    <row r="43">
      <c r="A43" s="15">
        <f>계산과정!A43</f>
        <v/>
      </c>
      <c r="B43" s="11">
        <f>계산과정!V43</f>
        <v/>
      </c>
      <c r="C43" s="12">
        <f>계산과정!W43</f>
        <v/>
      </c>
      <c r="D43" s="18">
        <f>계산과정!U43</f>
        <v/>
      </c>
      <c r="E43" s="18">
        <f>D43*C43</f>
        <v/>
      </c>
      <c r="F43" s="17">
        <f>원데이터!N43</f>
        <v/>
      </c>
      <c r="G43" s="17">
        <f>L42</f>
        <v/>
      </c>
      <c r="H43" s="17">
        <f>MAX(F43-G43, 0)</f>
        <v/>
      </c>
      <c r="I43" s="17">
        <f>MAX(G43-F43, 0)</f>
        <v/>
      </c>
      <c r="J43" s="18">
        <f>IF(I43&lt;=설정!$B$42, 1, (설정!$B$41-I43)/(설정!$B$41-설정!$B$42))</f>
        <v/>
      </c>
      <c r="K43" s="18">
        <f>J43*E43</f>
        <v/>
      </c>
      <c r="L43" s="17">
        <f>MIN(I43+K43, 설정!$B$41)</f>
        <v/>
      </c>
      <c r="M43" s="8">
        <f>IF(L43&gt;=설정!$B$42,"●","")</f>
        <v/>
      </c>
      <c r="N43" s="17">
        <f>IF(M43="●",L43,0)</f>
        <v/>
      </c>
      <c r="O43" s="17">
        <f>IF(N43&gt;0,N43/설정!$B$44,0)</f>
        <v/>
      </c>
    </row>
    <row r="44">
      <c r="A44" s="15">
        <f>계산과정!A44</f>
        <v/>
      </c>
      <c r="B44" s="11">
        <f>계산과정!V44</f>
        <v/>
      </c>
      <c r="C44" s="12">
        <f>계산과정!W44</f>
        <v/>
      </c>
      <c r="D44" s="18">
        <f>계산과정!U44</f>
        <v/>
      </c>
      <c r="E44" s="18">
        <f>D44*C44</f>
        <v/>
      </c>
      <c r="F44" s="17">
        <f>원데이터!N44</f>
        <v/>
      </c>
      <c r="G44" s="17">
        <f>L43</f>
        <v/>
      </c>
      <c r="H44" s="17">
        <f>MAX(F44-G44, 0)</f>
        <v/>
      </c>
      <c r="I44" s="17">
        <f>MAX(G44-F44, 0)</f>
        <v/>
      </c>
      <c r="J44" s="18">
        <f>IF(I44&lt;=설정!$B$42, 1, (설정!$B$41-I44)/(설정!$B$41-설정!$B$42))</f>
        <v/>
      </c>
      <c r="K44" s="18">
        <f>J44*E44</f>
        <v/>
      </c>
      <c r="L44" s="17">
        <f>MIN(I44+K44, 설정!$B$41)</f>
        <v/>
      </c>
      <c r="M44" s="8">
        <f>IF(L44&gt;=설정!$B$42,"●","")</f>
        <v/>
      </c>
      <c r="N44" s="17">
        <f>IF(M44="●",L44,0)</f>
        <v/>
      </c>
      <c r="O44" s="17">
        <f>IF(N44&gt;0,N44/설정!$B$44,0)</f>
        <v/>
      </c>
    </row>
    <row r="45">
      <c r="A45" s="15">
        <f>계산과정!A45</f>
        <v/>
      </c>
      <c r="B45" s="11">
        <f>계산과정!V45</f>
        <v/>
      </c>
      <c r="C45" s="12">
        <f>계산과정!W45</f>
        <v/>
      </c>
      <c r="D45" s="18">
        <f>계산과정!U45</f>
        <v/>
      </c>
      <c r="E45" s="18">
        <f>D45*C45</f>
        <v/>
      </c>
      <c r="F45" s="17">
        <f>원데이터!N45</f>
        <v/>
      </c>
      <c r="G45" s="17">
        <f>L44</f>
        <v/>
      </c>
      <c r="H45" s="17">
        <f>MAX(F45-G45, 0)</f>
        <v/>
      </c>
      <c r="I45" s="17">
        <f>MAX(G45-F45, 0)</f>
        <v/>
      </c>
      <c r="J45" s="18">
        <f>IF(I45&lt;=설정!$B$42, 1, (설정!$B$41-I45)/(설정!$B$41-설정!$B$42))</f>
        <v/>
      </c>
      <c r="K45" s="18">
        <f>J45*E45</f>
        <v/>
      </c>
      <c r="L45" s="17">
        <f>MIN(I45+K45, 설정!$B$41)</f>
        <v/>
      </c>
      <c r="M45" s="8">
        <f>IF(L45&gt;=설정!$B$42,"●","")</f>
        <v/>
      </c>
      <c r="N45" s="17">
        <f>IF(M45="●",L45,0)</f>
        <v/>
      </c>
      <c r="O45" s="17">
        <f>IF(N45&gt;0,N45/설정!$B$44,0)</f>
        <v/>
      </c>
    </row>
    <row r="46">
      <c r="A46" s="15">
        <f>계산과정!A46</f>
        <v/>
      </c>
      <c r="B46" s="11">
        <f>계산과정!V46</f>
        <v/>
      </c>
      <c r="C46" s="12">
        <f>계산과정!W46</f>
        <v/>
      </c>
      <c r="D46" s="18">
        <f>계산과정!U46</f>
        <v/>
      </c>
      <c r="E46" s="18">
        <f>D46*C46</f>
        <v/>
      </c>
      <c r="F46" s="17">
        <f>원데이터!N46</f>
        <v/>
      </c>
      <c r="G46" s="17">
        <f>L45</f>
        <v/>
      </c>
      <c r="H46" s="17">
        <f>MAX(F46-G46, 0)</f>
        <v/>
      </c>
      <c r="I46" s="17">
        <f>MAX(G46-F46, 0)</f>
        <v/>
      </c>
      <c r="J46" s="18">
        <f>IF(I46&lt;=설정!$B$42, 1, (설정!$B$41-I46)/(설정!$B$41-설정!$B$42))</f>
        <v/>
      </c>
      <c r="K46" s="18">
        <f>J46*E46</f>
        <v/>
      </c>
      <c r="L46" s="17">
        <f>MIN(I46+K46, 설정!$B$41)</f>
        <v/>
      </c>
      <c r="M46" s="8">
        <f>IF(L46&gt;=설정!$B$42,"●","")</f>
        <v/>
      </c>
      <c r="N46" s="17">
        <f>IF(M46="●",L46,0)</f>
        <v/>
      </c>
      <c r="O46" s="17">
        <f>IF(N46&gt;0,N46/설정!$B$44,0)</f>
        <v/>
      </c>
    </row>
    <row r="47">
      <c r="A47" s="15">
        <f>계산과정!A47</f>
        <v/>
      </c>
      <c r="B47" s="11">
        <f>계산과정!V47</f>
        <v/>
      </c>
      <c r="C47" s="12">
        <f>계산과정!W47</f>
        <v/>
      </c>
      <c r="D47" s="18">
        <f>계산과정!U47</f>
        <v/>
      </c>
      <c r="E47" s="18">
        <f>D47*C47</f>
        <v/>
      </c>
      <c r="F47" s="17">
        <f>원데이터!N47</f>
        <v/>
      </c>
      <c r="G47" s="17">
        <f>L46</f>
        <v/>
      </c>
      <c r="H47" s="17">
        <f>MAX(F47-G47, 0)</f>
        <v/>
      </c>
      <c r="I47" s="17">
        <f>MAX(G47-F47, 0)</f>
        <v/>
      </c>
      <c r="J47" s="18">
        <f>IF(I47&lt;=설정!$B$42, 1, (설정!$B$41-I47)/(설정!$B$41-설정!$B$42))</f>
        <v/>
      </c>
      <c r="K47" s="18">
        <f>J47*E47</f>
        <v/>
      </c>
      <c r="L47" s="17">
        <f>MIN(I47+K47, 설정!$B$41)</f>
        <v/>
      </c>
      <c r="M47" s="8">
        <f>IF(L47&gt;=설정!$B$42,"●","")</f>
        <v/>
      </c>
      <c r="N47" s="17">
        <f>IF(M47="●",L47,0)</f>
        <v/>
      </c>
      <c r="O47" s="17">
        <f>IF(N47&gt;0,N47/설정!$B$44,0)</f>
        <v/>
      </c>
    </row>
    <row r="48">
      <c r="A48" s="15">
        <f>계산과정!A48</f>
        <v/>
      </c>
      <c r="B48" s="11">
        <f>계산과정!V48</f>
        <v/>
      </c>
      <c r="C48" s="12">
        <f>계산과정!W48</f>
        <v/>
      </c>
      <c r="D48" s="18">
        <f>계산과정!U48</f>
        <v/>
      </c>
      <c r="E48" s="18">
        <f>D48*C48</f>
        <v/>
      </c>
      <c r="F48" s="17">
        <f>원데이터!N48</f>
        <v/>
      </c>
      <c r="G48" s="17">
        <f>L47</f>
        <v/>
      </c>
      <c r="H48" s="17">
        <f>MAX(F48-G48, 0)</f>
        <v/>
      </c>
      <c r="I48" s="17">
        <f>MAX(G48-F48, 0)</f>
        <v/>
      </c>
      <c r="J48" s="18">
        <f>IF(I48&lt;=설정!$B$42, 1, (설정!$B$41-I48)/(설정!$B$41-설정!$B$42))</f>
        <v/>
      </c>
      <c r="K48" s="18">
        <f>J48*E48</f>
        <v/>
      </c>
      <c r="L48" s="17">
        <f>MIN(I48+K48, 설정!$B$41)</f>
        <v/>
      </c>
      <c r="M48" s="8">
        <f>IF(L48&gt;=설정!$B$42,"●","")</f>
        <v/>
      </c>
      <c r="N48" s="17">
        <f>IF(M48="●",L48,0)</f>
        <v/>
      </c>
      <c r="O48" s="17">
        <f>IF(N48&gt;0,N48/설정!$B$44,0)</f>
        <v/>
      </c>
    </row>
    <row r="49">
      <c r="A49" s="15">
        <f>계산과정!A49</f>
        <v/>
      </c>
      <c r="B49" s="11">
        <f>계산과정!V49</f>
        <v/>
      </c>
      <c r="C49" s="12">
        <f>계산과정!W49</f>
        <v/>
      </c>
      <c r="D49" s="18">
        <f>계산과정!U49</f>
        <v/>
      </c>
      <c r="E49" s="18">
        <f>D49*C49</f>
        <v/>
      </c>
      <c r="F49" s="17">
        <f>원데이터!N49</f>
        <v/>
      </c>
      <c r="G49" s="17">
        <f>L48</f>
        <v/>
      </c>
      <c r="H49" s="17">
        <f>MAX(F49-G49, 0)</f>
        <v/>
      </c>
      <c r="I49" s="17">
        <f>MAX(G49-F49, 0)</f>
        <v/>
      </c>
      <c r="J49" s="18">
        <f>IF(I49&lt;=설정!$B$42, 1, (설정!$B$41-I49)/(설정!$B$41-설정!$B$42))</f>
        <v/>
      </c>
      <c r="K49" s="18">
        <f>J49*E49</f>
        <v/>
      </c>
      <c r="L49" s="17">
        <f>MIN(I49+K49, 설정!$B$41)</f>
        <v/>
      </c>
      <c r="M49" s="8">
        <f>IF(L49&gt;=설정!$B$42,"●","")</f>
        <v/>
      </c>
      <c r="N49" s="17">
        <f>IF(M49="●",L49,0)</f>
        <v/>
      </c>
      <c r="O49" s="17">
        <f>IF(N49&gt;0,N49/설정!$B$44,0)</f>
        <v/>
      </c>
    </row>
    <row r="50">
      <c r="A50" s="15">
        <f>계산과정!A50</f>
        <v/>
      </c>
      <c r="B50" s="11">
        <f>계산과정!V50</f>
        <v/>
      </c>
      <c r="C50" s="12">
        <f>계산과정!W50</f>
        <v/>
      </c>
      <c r="D50" s="18">
        <f>계산과정!U50</f>
        <v/>
      </c>
      <c r="E50" s="18">
        <f>D50*C50</f>
        <v/>
      </c>
      <c r="F50" s="17">
        <f>원데이터!N50</f>
        <v/>
      </c>
      <c r="G50" s="17">
        <f>L49</f>
        <v/>
      </c>
      <c r="H50" s="17">
        <f>MAX(F50-G50, 0)</f>
        <v/>
      </c>
      <c r="I50" s="17">
        <f>MAX(G50-F50, 0)</f>
        <v/>
      </c>
      <c r="J50" s="18">
        <f>IF(I50&lt;=설정!$B$42, 1, (설정!$B$41-I50)/(설정!$B$41-설정!$B$42))</f>
        <v/>
      </c>
      <c r="K50" s="18">
        <f>J50*E50</f>
        <v/>
      </c>
      <c r="L50" s="17">
        <f>MIN(I50+K50, 설정!$B$41)</f>
        <v/>
      </c>
      <c r="M50" s="8">
        <f>IF(L50&gt;=설정!$B$42,"●","")</f>
        <v/>
      </c>
      <c r="N50" s="17">
        <f>IF(M50="●",L50,0)</f>
        <v/>
      </c>
      <c r="O50" s="17">
        <f>IF(N50&gt;0,N50/설정!$B$44,0)</f>
        <v/>
      </c>
    </row>
    <row r="51">
      <c r="A51" s="15">
        <f>계산과정!A51</f>
        <v/>
      </c>
      <c r="B51" s="11">
        <f>계산과정!V51</f>
        <v/>
      </c>
      <c r="C51" s="12">
        <f>계산과정!W51</f>
        <v/>
      </c>
      <c r="D51" s="18">
        <f>계산과정!U51</f>
        <v/>
      </c>
      <c r="E51" s="18">
        <f>D51*C51</f>
        <v/>
      </c>
      <c r="F51" s="17">
        <f>원데이터!N51</f>
        <v/>
      </c>
      <c r="G51" s="17">
        <f>L50</f>
        <v/>
      </c>
      <c r="H51" s="17">
        <f>MAX(F51-G51, 0)</f>
        <v/>
      </c>
      <c r="I51" s="17">
        <f>MAX(G51-F51, 0)</f>
        <v/>
      </c>
      <c r="J51" s="18">
        <f>IF(I51&lt;=설정!$B$42, 1, (설정!$B$41-I51)/(설정!$B$41-설정!$B$42))</f>
        <v/>
      </c>
      <c r="K51" s="18">
        <f>J51*E51</f>
        <v/>
      </c>
      <c r="L51" s="17">
        <f>MIN(I51+K51, 설정!$B$41)</f>
        <v/>
      </c>
      <c r="M51" s="8">
        <f>IF(L51&gt;=설정!$B$42,"●","")</f>
        <v/>
      </c>
      <c r="N51" s="17">
        <f>IF(M51="●",L51,0)</f>
        <v/>
      </c>
      <c r="O51" s="17">
        <f>IF(N51&gt;0,N51/설정!$B$44,0)</f>
        <v/>
      </c>
    </row>
    <row r="52">
      <c r="A52" s="15">
        <f>계산과정!A52</f>
        <v/>
      </c>
      <c r="B52" s="11">
        <f>계산과정!V52</f>
        <v/>
      </c>
      <c r="C52" s="12">
        <f>계산과정!W52</f>
        <v/>
      </c>
      <c r="D52" s="18">
        <f>계산과정!U52</f>
        <v/>
      </c>
      <c r="E52" s="18">
        <f>D52*C52</f>
        <v/>
      </c>
      <c r="F52" s="17">
        <f>원데이터!N52</f>
        <v/>
      </c>
      <c r="G52" s="17">
        <f>L51</f>
        <v/>
      </c>
      <c r="H52" s="17">
        <f>MAX(F52-G52, 0)</f>
        <v/>
      </c>
      <c r="I52" s="17">
        <f>MAX(G52-F52, 0)</f>
        <v/>
      </c>
      <c r="J52" s="18">
        <f>IF(I52&lt;=설정!$B$42, 1, (설정!$B$41-I52)/(설정!$B$41-설정!$B$42))</f>
        <v/>
      </c>
      <c r="K52" s="18">
        <f>J52*E52</f>
        <v/>
      </c>
      <c r="L52" s="17">
        <f>MIN(I52+K52, 설정!$B$41)</f>
        <v/>
      </c>
      <c r="M52" s="8">
        <f>IF(L52&gt;=설정!$B$42,"●","")</f>
        <v/>
      </c>
      <c r="N52" s="17">
        <f>IF(M52="●",L52,0)</f>
        <v/>
      </c>
      <c r="O52" s="17">
        <f>IF(N52&gt;0,N52/설정!$B$44,0)</f>
        <v/>
      </c>
    </row>
    <row r="53">
      <c r="A53" s="15">
        <f>계산과정!A53</f>
        <v/>
      </c>
      <c r="B53" s="11">
        <f>계산과정!V53</f>
        <v/>
      </c>
      <c r="C53" s="12">
        <f>계산과정!W53</f>
        <v/>
      </c>
      <c r="D53" s="18">
        <f>계산과정!U53</f>
        <v/>
      </c>
      <c r="E53" s="18">
        <f>D53*C53</f>
        <v/>
      </c>
      <c r="F53" s="17">
        <f>원데이터!N53</f>
        <v/>
      </c>
      <c r="G53" s="17">
        <f>L52</f>
        <v/>
      </c>
      <c r="H53" s="17">
        <f>MAX(F53-G53, 0)</f>
        <v/>
      </c>
      <c r="I53" s="17">
        <f>MAX(G53-F53, 0)</f>
        <v/>
      </c>
      <c r="J53" s="18">
        <f>IF(I53&lt;=설정!$B$42, 1, (설정!$B$41-I53)/(설정!$B$41-설정!$B$42))</f>
        <v/>
      </c>
      <c r="K53" s="18">
        <f>J53*E53</f>
        <v/>
      </c>
      <c r="L53" s="17">
        <f>MIN(I53+K53, 설정!$B$41)</f>
        <v/>
      </c>
      <c r="M53" s="8">
        <f>IF(L53&gt;=설정!$B$42,"●","")</f>
        <v/>
      </c>
      <c r="N53" s="17">
        <f>IF(M53="●",L53,0)</f>
        <v/>
      </c>
      <c r="O53" s="17">
        <f>IF(N53&gt;0,N53/설정!$B$44,0)</f>
        <v/>
      </c>
    </row>
    <row r="54">
      <c r="A54" s="15">
        <f>계산과정!A54</f>
        <v/>
      </c>
      <c r="B54" s="11">
        <f>계산과정!V54</f>
        <v/>
      </c>
      <c r="C54" s="12">
        <f>계산과정!W54</f>
        <v/>
      </c>
      <c r="D54" s="18">
        <f>계산과정!U54</f>
        <v/>
      </c>
      <c r="E54" s="18">
        <f>D54*C54</f>
        <v/>
      </c>
      <c r="F54" s="17">
        <f>원데이터!N54</f>
        <v/>
      </c>
      <c r="G54" s="17">
        <f>L53</f>
        <v/>
      </c>
      <c r="H54" s="17">
        <f>MAX(F54-G54, 0)</f>
        <v/>
      </c>
      <c r="I54" s="17">
        <f>MAX(G54-F54, 0)</f>
        <v/>
      </c>
      <c r="J54" s="18">
        <f>IF(I54&lt;=설정!$B$42, 1, (설정!$B$41-I54)/(설정!$B$41-설정!$B$42))</f>
        <v/>
      </c>
      <c r="K54" s="18">
        <f>J54*E54</f>
        <v/>
      </c>
      <c r="L54" s="17">
        <f>MIN(I54+K54, 설정!$B$41)</f>
        <v/>
      </c>
      <c r="M54" s="8">
        <f>IF(L54&gt;=설정!$B$42,"●","")</f>
        <v/>
      </c>
      <c r="N54" s="17">
        <f>IF(M54="●",L54,0)</f>
        <v/>
      </c>
      <c r="O54" s="17">
        <f>IF(N54&gt;0,N54/설정!$B$44,0)</f>
        <v/>
      </c>
    </row>
    <row r="55">
      <c r="A55" s="15">
        <f>계산과정!A55</f>
        <v/>
      </c>
      <c r="B55" s="11">
        <f>계산과정!V55</f>
        <v/>
      </c>
      <c r="C55" s="12">
        <f>계산과정!W55</f>
        <v/>
      </c>
      <c r="D55" s="18">
        <f>계산과정!U55</f>
        <v/>
      </c>
      <c r="E55" s="18">
        <f>D55*C55</f>
        <v/>
      </c>
      <c r="F55" s="17">
        <f>원데이터!N55</f>
        <v/>
      </c>
      <c r="G55" s="17">
        <f>L54</f>
        <v/>
      </c>
      <c r="H55" s="17">
        <f>MAX(F55-G55, 0)</f>
        <v/>
      </c>
      <c r="I55" s="17">
        <f>MAX(G55-F55, 0)</f>
        <v/>
      </c>
      <c r="J55" s="18">
        <f>IF(I55&lt;=설정!$B$42, 1, (설정!$B$41-I55)/(설정!$B$41-설정!$B$42))</f>
        <v/>
      </c>
      <c r="K55" s="18">
        <f>J55*E55</f>
        <v/>
      </c>
      <c r="L55" s="17">
        <f>MIN(I55+K55, 설정!$B$41)</f>
        <v/>
      </c>
      <c r="M55" s="8">
        <f>IF(L55&gt;=설정!$B$42,"●","")</f>
        <v/>
      </c>
      <c r="N55" s="17">
        <f>IF(M55="●",L55,0)</f>
        <v/>
      </c>
      <c r="O55" s="17">
        <f>IF(N55&gt;0,N55/설정!$B$44,0)</f>
        <v/>
      </c>
    </row>
    <row r="56">
      <c r="A56" s="15">
        <f>계산과정!A56</f>
        <v/>
      </c>
      <c r="B56" s="11">
        <f>계산과정!V56</f>
        <v/>
      </c>
      <c r="C56" s="12">
        <f>계산과정!W56</f>
        <v/>
      </c>
      <c r="D56" s="18">
        <f>계산과정!U56</f>
        <v/>
      </c>
      <c r="E56" s="18">
        <f>D56*C56</f>
        <v/>
      </c>
      <c r="F56" s="17">
        <f>원데이터!N56</f>
        <v/>
      </c>
      <c r="G56" s="17">
        <f>L55</f>
        <v/>
      </c>
      <c r="H56" s="17">
        <f>MAX(F56-G56, 0)</f>
        <v/>
      </c>
      <c r="I56" s="17">
        <f>MAX(G56-F56, 0)</f>
        <v/>
      </c>
      <c r="J56" s="18">
        <f>IF(I56&lt;=설정!$B$42, 1, (설정!$B$41-I56)/(설정!$B$41-설정!$B$42))</f>
        <v/>
      </c>
      <c r="K56" s="18">
        <f>J56*E56</f>
        <v/>
      </c>
      <c r="L56" s="17">
        <f>MIN(I56+K56, 설정!$B$41)</f>
        <v/>
      </c>
      <c r="M56" s="8">
        <f>IF(L56&gt;=설정!$B$42,"●","")</f>
        <v/>
      </c>
      <c r="N56" s="17">
        <f>IF(M56="●",L56,0)</f>
        <v/>
      </c>
      <c r="O56" s="17">
        <f>IF(N56&gt;0,N56/설정!$B$44,0)</f>
        <v/>
      </c>
    </row>
    <row r="57">
      <c r="A57" s="15">
        <f>계산과정!A57</f>
        <v/>
      </c>
      <c r="B57" s="11">
        <f>계산과정!V57</f>
        <v/>
      </c>
      <c r="C57" s="12">
        <f>계산과정!W57</f>
        <v/>
      </c>
      <c r="D57" s="18">
        <f>계산과정!U57</f>
        <v/>
      </c>
      <c r="E57" s="18">
        <f>D57*C57</f>
        <v/>
      </c>
      <c r="F57" s="17">
        <f>원데이터!N57</f>
        <v/>
      </c>
      <c r="G57" s="17">
        <f>L56</f>
        <v/>
      </c>
      <c r="H57" s="17">
        <f>MAX(F57-G57, 0)</f>
        <v/>
      </c>
      <c r="I57" s="17">
        <f>MAX(G57-F57, 0)</f>
        <v/>
      </c>
      <c r="J57" s="18">
        <f>IF(I57&lt;=설정!$B$42, 1, (설정!$B$41-I57)/(설정!$B$41-설정!$B$42))</f>
        <v/>
      </c>
      <c r="K57" s="18">
        <f>J57*E57</f>
        <v/>
      </c>
      <c r="L57" s="17">
        <f>MIN(I57+K57, 설정!$B$41)</f>
        <v/>
      </c>
      <c r="M57" s="8">
        <f>IF(L57&gt;=설정!$B$42,"●","")</f>
        <v/>
      </c>
      <c r="N57" s="17">
        <f>IF(M57="●",L57,0)</f>
        <v/>
      </c>
      <c r="O57" s="17">
        <f>IF(N57&gt;0,N57/설정!$B$44,0)</f>
        <v/>
      </c>
    </row>
    <row r="58">
      <c r="A58" s="15">
        <f>계산과정!A58</f>
        <v/>
      </c>
      <c r="B58" s="11">
        <f>계산과정!V58</f>
        <v/>
      </c>
      <c r="C58" s="12">
        <f>계산과정!W58</f>
        <v/>
      </c>
      <c r="D58" s="18">
        <f>계산과정!U58</f>
        <v/>
      </c>
      <c r="E58" s="18">
        <f>D58*C58</f>
        <v/>
      </c>
      <c r="F58" s="17">
        <f>원데이터!N58</f>
        <v/>
      </c>
      <c r="G58" s="17">
        <f>L57</f>
        <v/>
      </c>
      <c r="H58" s="17">
        <f>MAX(F58-G58, 0)</f>
        <v/>
      </c>
      <c r="I58" s="17">
        <f>MAX(G58-F58, 0)</f>
        <v/>
      </c>
      <c r="J58" s="18">
        <f>IF(I58&lt;=설정!$B$42, 1, (설정!$B$41-I58)/(설정!$B$41-설정!$B$42))</f>
        <v/>
      </c>
      <c r="K58" s="18">
        <f>J58*E58</f>
        <v/>
      </c>
      <c r="L58" s="17">
        <f>MIN(I58+K58, 설정!$B$41)</f>
        <v/>
      </c>
      <c r="M58" s="8">
        <f>IF(L58&gt;=설정!$B$42,"●","")</f>
        <v/>
      </c>
      <c r="N58" s="17">
        <f>IF(M58="●",L58,0)</f>
        <v/>
      </c>
      <c r="O58" s="17">
        <f>IF(N58&gt;0,N58/설정!$B$44,0)</f>
        <v/>
      </c>
    </row>
    <row r="59">
      <c r="A59" s="15">
        <f>계산과정!A59</f>
        <v/>
      </c>
      <c r="B59" s="11">
        <f>계산과정!V59</f>
        <v/>
      </c>
      <c r="C59" s="12">
        <f>계산과정!W59</f>
        <v/>
      </c>
      <c r="D59" s="18">
        <f>계산과정!U59</f>
        <v/>
      </c>
      <c r="E59" s="18">
        <f>D59*C59</f>
        <v/>
      </c>
      <c r="F59" s="17">
        <f>원데이터!N59</f>
        <v/>
      </c>
      <c r="G59" s="17">
        <f>L58</f>
        <v/>
      </c>
      <c r="H59" s="17">
        <f>MAX(F59-G59, 0)</f>
        <v/>
      </c>
      <c r="I59" s="17">
        <f>MAX(G59-F59, 0)</f>
        <v/>
      </c>
      <c r="J59" s="18">
        <f>IF(I59&lt;=설정!$B$42, 1, (설정!$B$41-I59)/(설정!$B$41-설정!$B$42))</f>
        <v/>
      </c>
      <c r="K59" s="18">
        <f>J59*E59</f>
        <v/>
      </c>
      <c r="L59" s="17">
        <f>MIN(I59+K59, 설정!$B$41)</f>
        <v/>
      </c>
      <c r="M59" s="8">
        <f>IF(L59&gt;=설정!$B$42,"●","")</f>
        <v/>
      </c>
      <c r="N59" s="17">
        <f>IF(M59="●",L59,0)</f>
        <v/>
      </c>
      <c r="O59" s="17">
        <f>IF(N59&gt;0,N59/설정!$B$44,0)</f>
        <v/>
      </c>
    </row>
    <row r="60">
      <c r="A60" s="15">
        <f>계산과정!A60</f>
        <v/>
      </c>
      <c r="B60" s="11">
        <f>계산과정!V60</f>
        <v/>
      </c>
      <c r="C60" s="12">
        <f>계산과정!W60</f>
        <v/>
      </c>
      <c r="D60" s="18">
        <f>계산과정!U60</f>
        <v/>
      </c>
      <c r="E60" s="18">
        <f>D60*C60</f>
        <v/>
      </c>
      <c r="F60" s="17">
        <f>원데이터!N60</f>
        <v/>
      </c>
      <c r="G60" s="17">
        <f>L59</f>
        <v/>
      </c>
      <c r="H60" s="17">
        <f>MAX(F60-G60, 0)</f>
        <v/>
      </c>
      <c r="I60" s="17">
        <f>MAX(G60-F60, 0)</f>
        <v/>
      </c>
      <c r="J60" s="18">
        <f>IF(I60&lt;=설정!$B$42, 1, (설정!$B$41-I60)/(설정!$B$41-설정!$B$42))</f>
        <v/>
      </c>
      <c r="K60" s="18">
        <f>J60*E60</f>
        <v/>
      </c>
      <c r="L60" s="17">
        <f>MIN(I60+K60, 설정!$B$41)</f>
        <v/>
      </c>
      <c r="M60" s="8">
        <f>IF(L60&gt;=설정!$B$42,"●","")</f>
        <v/>
      </c>
      <c r="N60" s="17">
        <f>IF(M60="●",L60,0)</f>
        <v/>
      </c>
      <c r="O60" s="17">
        <f>IF(N60&gt;0,N60/설정!$B$44,0)</f>
        <v/>
      </c>
    </row>
    <row r="61">
      <c r="A61" s="15">
        <f>계산과정!A61</f>
        <v/>
      </c>
      <c r="B61" s="11">
        <f>계산과정!V61</f>
        <v/>
      </c>
      <c r="C61" s="12">
        <f>계산과정!W61</f>
        <v/>
      </c>
      <c r="D61" s="18">
        <f>계산과정!U61</f>
        <v/>
      </c>
      <c r="E61" s="18">
        <f>D61*C61</f>
        <v/>
      </c>
      <c r="F61" s="17">
        <f>원데이터!N61</f>
        <v/>
      </c>
      <c r="G61" s="17">
        <f>L60</f>
        <v/>
      </c>
      <c r="H61" s="17">
        <f>MAX(F61-G61, 0)</f>
        <v/>
      </c>
      <c r="I61" s="17">
        <f>MAX(G61-F61, 0)</f>
        <v/>
      </c>
      <c r="J61" s="18">
        <f>IF(I61&lt;=설정!$B$42, 1, (설정!$B$41-I61)/(설정!$B$41-설정!$B$42))</f>
        <v/>
      </c>
      <c r="K61" s="18">
        <f>J61*E61</f>
        <v/>
      </c>
      <c r="L61" s="17">
        <f>MIN(I61+K61, 설정!$B$41)</f>
        <v/>
      </c>
      <c r="M61" s="8">
        <f>IF(L61&gt;=설정!$B$42,"●","")</f>
        <v/>
      </c>
      <c r="N61" s="17">
        <f>IF(M61="●",L61,0)</f>
        <v/>
      </c>
      <c r="O61" s="17">
        <f>IF(N61&gt;0,N61/설정!$B$44,0)</f>
        <v/>
      </c>
    </row>
    <row r="62">
      <c r="A62" s="15">
        <f>계산과정!A62</f>
        <v/>
      </c>
      <c r="B62" s="11">
        <f>계산과정!V62</f>
        <v/>
      </c>
      <c r="C62" s="12">
        <f>계산과정!W62</f>
        <v/>
      </c>
      <c r="D62" s="18">
        <f>계산과정!U62</f>
        <v/>
      </c>
      <c r="E62" s="18">
        <f>D62*C62</f>
        <v/>
      </c>
      <c r="F62" s="17">
        <f>원데이터!N62</f>
        <v/>
      </c>
      <c r="G62" s="17">
        <f>L61</f>
        <v/>
      </c>
      <c r="H62" s="17">
        <f>MAX(F62-G62, 0)</f>
        <v/>
      </c>
      <c r="I62" s="17">
        <f>MAX(G62-F62, 0)</f>
        <v/>
      </c>
      <c r="J62" s="18">
        <f>IF(I62&lt;=설정!$B$42, 1, (설정!$B$41-I62)/(설정!$B$41-설정!$B$42))</f>
        <v/>
      </c>
      <c r="K62" s="18">
        <f>J62*E62</f>
        <v/>
      </c>
      <c r="L62" s="17">
        <f>MIN(I62+K62, 설정!$B$41)</f>
        <v/>
      </c>
      <c r="M62" s="8">
        <f>IF(L62&gt;=설정!$B$42,"●","")</f>
        <v/>
      </c>
      <c r="N62" s="17">
        <f>IF(M62="●",L62,0)</f>
        <v/>
      </c>
      <c r="O62" s="17">
        <f>IF(N62&gt;0,N62/설정!$B$44,0)</f>
        <v/>
      </c>
    </row>
    <row r="63">
      <c r="A63" s="15">
        <f>계산과정!A63</f>
        <v/>
      </c>
      <c r="B63" s="11">
        <f>계산과정!V63</f>
        <v/>
      </c>
      <c r="C63" s="12">
        <f>계산과정!W63</f>
        <v/>
      </c>
      <c r="D63" s="18">
        <f>계산과정!U63</f>
        <v/>
      </c>
      <c r="E63" s="18">
        <f>D63*C63</f>
        <v/>
      </c>
      <c r="F63" s="17">
        <f>원데이터!N63</f>
        <v/>
      </c>
      <c r="G63" s="17">
        <f>L62</f>
        <v/>
      </c>
      <c r="H63" s="17">
        <f>MAX(F63-G63, 0)</f>
        <v/>
      </c>
      <c r="I63" s="17">
        <f>MAX(G63-F63, 0)</f>
        <v/>
      </c>
      <c r="J63" s="18">
        <f>IF(I63&lt;=설정!$B$42, 1, (설정!$B$41-I63)/(설정!$B$41-설정!$B$42))</f>
        <v/>
      </c>
      <c r="K63" s="18">
        <f>J63*E63</f>
        <v/>
      </c>
      <c r="L63" s="17">
        <f>MIN(I63+K63, 설정!$B$41)</f>
        <v/>
      </c>
      <c r="M63" s="8">
        <f>IF(L63&gt;=설정!$B$42,"●","")</f>
        <v/>
      </c>
      <c r="N63" s="17">
        <f>IF(M63="●",L63,0)</f>
        <v/>
      </c>
      <c r="O63" s="17">
        <f>IF(N63&gt;0,N63/설정!$B$44,0)</f>
        <v/>
      </c>
    </row>
    <row r="64">
      <c r="A64" s="15">
        <f>계산과정!A64</f>
        <v/>
      </c>
      <c r="B64" s="11">
        <f>계산과정!V64</f>
        <v/>
      </c>
      <c r="C64" s="12">
        <f>계산과정!W64</f>
        <v/>
      </c>
      <c r="D64" s="18">
        <f>계산과정!U64</f>
        <v/>
      </c>
      <c r="E64" s="18">
        <f>D64*C64</f>
        <v/>
      </c>
      <c r="F64" s="17">
        <f>원데이터!N64</f>
        <v/>
      </c>
      <c r="G64" s="17">
        <f>L63</f>
        <v/>
      </c>
      <c r="H64" s="17">
        <f>MAX(F64-G64, 0)</f>
        <v/>
      </c>
      <c r="I64" s="17">
        <f>MAX(G64-F64, 0)</f>
        <v/>
      </c>
      <c r="J64" s="18">
        <f>IF(I64&lt;=설정!$B$42, 1, (설정!$B$41-I64)/(설정!$B$41-설정!$B$42))</f>
        <v/>
      </c>
      <c r="K64" s="18">
        <f>J64*E64</f>
        <v/>
      </c>
      <c r="L64" s="17">
        <f>MIN(I64+K64, 설정!$B$41)</f>
        <v/>
      </c>
      <c r="M64" s="8">
        <f>IF(L64&gt;=설정!$B$42,"●","")</f>
        <v/>
      </c>
      <c r="N64" s="17">
        <f>IF(M64="●",L64,0)</f>
        <v/>
      </c>
      <c r="O64" s="17">
        <f>IF(N64&gt;0,N64/설정!$B$44,0)</f>
        <v/>
      </c>
    </row>
    <row r="65">
      <c r="A65" s="15">
        <f>계산과정!A65</f>
        <v/>
      </c>
      <c r="B65" s="11">
        <f>계산과정!V65</f>
        <v/>
      </c>
      <c r="C65" s="12">
        <f>계산과정!W65</f>
        <v/>
      </c>
      <c r="D65" s="18">
        <f>계산과정!U65</f>
        <v/>
      </c>
      <c r="E65" s="18">
        <f>D65*C65</f>
        <v/>
      </c>
      <c r="F65" s="17">
        <f>원데이터!N65</f>
        <v/>
      </c>
      <c r="G65" s="17">
        <f>L64</f>
        <v/>
      </c>
      <c r="H65" s="17">
        <f>MAX(F65-G65, 0)</f>
        <v/>
      </c>
      <c r="I65" s="17">
        <f>MAX(G65-F65, 0)</f>
        <v/>
      </c>
      <c r="J65" s="18">
        <f>IF(I65&lt;=설정!$B$42, 1, (설정!$B$41-I65)/(설정!$B$41-설정!$B$42))</f>
        <v/>
      </c>
      <c r="K65" s="18">
        <f>J65*E65</f>
        <v/>
      </c>
      <c r="L65" s="17">
        <f>MIN(I65+K65, 설정!$B$41)</f>
        <v/>
      </c>
      <c r="M65" s="8">
        <f>IF(L65&gt;=설정!$B$42,"●","")</f>
        <v/>
      </c>
      <c r="N65" s="17">
        <f>IF(M65="●",L65,0)</f>
        <v/>
      </c>
      <c r="O65" s="17">
        <f>IF(N65&gt;0,N65/설정!$B$44,0)</f>
        <v/>
      </c>
    </row>
    <row r="66">
      <c r="A66" s="15">
        <f>계산과정!A66</f>
        <v/>
      </c>
      <c r="B66" s="11">
        <f>계산과정!V66</f>
        <v/>
      </c>
      <c r="C66" s="12">
        <f>계산과정!W66</f>
        <v/>
      </c>
      <c r="D66" s="18">
        <f>계산과정!U66</f>
        <v/>
      </c>
      <c r="E66" s="18">
        <f>D66*C66</f>
        <v/>
      </c>
      <c r="F66" s="17">
        <f>원데이터!N66</f>
        <v/>
      </c>
      <c r="G66" s="17">
        <f>L65</f>
        <v/>
      </c>
      <c r="H66" s="17">
        <f>MAX(F66-G66, 0)</f>
        <v/>
      </c>
      <c r="I66" s="17">
        <f>MAX(G66-F66, 0)</f>
        <v/>
      </c>
      <c r="J66" s="18">
        <f>IF(I66&lt;=설정!$B$42, 1, (설정!$B$41-I66)/(설정!$B$41-설정!$B$42))</f>
        <v/>
      </c>
      <c r="K66" s="18">
        <f>J66*E66</f>
        <v/>
      </c>
      <c r="L66" s="17">
        <f>MIN(I66+K66, 설정!$B$41)</f>
        <v/>
      </c>
      <c r="M66" s="8">
        <f>IF(L66&gt;=설정!$B$42,"●","")</f>
        <v/>
      </c>
      <c r="N66" s="17">
        <f>IF(M66="●",L66,0)</f>
        <v/>
      </c>
      <c r="O66" s="17">
        <f>IF(N66&gt;0,N66/설정!$B$44,0)</f>
        <v/>
      </c>
    </row>
    <row r="67">
      <c r="A67" s="15">
        <f>계산과정!A67</f>
        <v/>
      </c>
      <c r="B67" s="11">
        <f>계산과정!V67</f>
        <v/>
      </c>
      <c r="C67" s="12">
        <f>계산과정!W67</f>
        <v/>
      </c>
      <c r="D67" s="18">
        <f>계산과정!U67</f>
        <v/>
      </c>
      <c r="E67" s="18">
        <f>D67*C67</f>
        <v/>
      </c>
      <c r="F67" s="17">
        <f>원데이터!N67</f>
        <v/>
      </c>
      <c r="G67" s="17">
        <f>L66</f>
        <v/>
      </c>
      <c r="H67" s="17">
        <f>MAX(F67-G67, 0)</f>
        <v/>
      </c>
      <c r="I67" s="17">
        <f>MAX(G67-F67, 0)</f>
        <v/>
      </c>
      <c r="J67" s="18">
        <f>IF(I67&lt;=설정!$B$42, 1, (설정!$B$41-I67)/(설정!$B$41-설정!$B$42))</f>
        <v/>
      </c>
      <c r="K67" s="18">
        <f>J67*E67</f>
        <v/>
      </c>
      <c r="L67" s="17">
        <f>MIN(I67+K67, 설정!$B$41)</f>
        <v/>
      </c>
      <c r="M67" s="8">
        <f>IF(L67&gt;=설정!$B$42,"●","")</f>
        <v/>
      </c>
      <c r="N67" s="17">
        <f>IF(M67="●",L67,0)</f>
        <v/>
      </c>
      <c r="O67" s="17">
        <f>IF(N67&gt;0,N67/설정!$B$44,0)</f>
        <v/>
      </c>
    </row>
    <row r="68">
      <c r="A68" s="15">
        <f>계산과정!A68</f>
        <v/>
      </c>
      <c r="B68" s="11">
        <f>계산과정!V68</f>
        <v/>
      </c>
      <c r="C68" s="12">
        <f>계산과정!W68</f>
        <v/>
      </c>
      <c r="D68" s="18">
        <f>계산과정!U68</f>
        <v/>
      </c>
      <c r="E68" s="18">
        <f>D68*C68</f>
        <v/>
      </c>
      <c r="F68" s="17">
        <f>원데이터!N68</f>
        <v/>
      </c>
      <c r="G68" s="17">
        <f>L67</f>
        <v/>
      </c>
      <c r="H68" s="17">
        <f>MAX(F68-G68, 0)</f>
        <v/>
      </c>
      <c r="I68" s="17">
        <f>MAX(G68-F68, 0)</f>
        <v/>
      </c>
      <c r="J68" s="18">
        <f>IF(I68&lt;=설정!$B$42, 1, (설정!$B$41-I68)/(설정!$B$41-설정!$B$42))</f>
        <v/>
      </c>
      <c r="K68" s="18">
        <f>J68*E68</f>
        <v/>
      </c>
      <c r="L68" s="17">
        <f>MIN(I68+K68, 설정!$B$41)</f>
        <v/>
      </c>
      <c r="M68" s="8">
        <f>IF(L68&gt;=설정!$B$42,"●","")</f>
        <v/>
      </c>
      <c r="N68" s="17">
        <f>IF(M68="●",L68,0)</f>
        <v/>
      </c>
      <c r="O68" s="17">
        <f>IF(N68&gt;0,N68/설정!$B$44,0)</f>
        <v/>
      </c>
    </row>
    <row r="69">
      <c r="A69" s="15">
        <f>계산과정!A69</f>
        <v/>
      </c>
      <c r="B69" s="11">
        <f>계산과정!V69</f>
        <v/>
      </c>
      <c r="C69" s="12">
        <f>계산과정!W69</f>
        <v/>
      </c>
      <c r="D69" s="18">
        <f>계산과정!U69</f>
        <v/>
      </c>
      <c r="E69" s="18">
        <f>D69*C69</f>
        <v/>
      </c>
      <c r="F69" s="17">
        <f>원데이터!N69</f>
        <v/>
      </c>
      <c r="G69" s="17">
        <f>L68</f>
        <v/>
      </c>
      <c r="H69" s="17">
        <f>MAX(F69-G69, 0)</f>
        <v/>
      </c>
      <c r="I69" s="17">
        <f>MAX(G69-F69, 0)</f>
        <v/>
      </c>
      <c r="J69" s="18">
        <f>IF(I69&lt;=설정!$B$42, 1, (설정!$B$41-I69)/(설정!$B$41-설정!$B$42))</f>
        <v/>
      </c>
      <c r="K69" s="18">
        <f>J69*E69</f>
        <v/>
      </c>
      <c r="L69" s="17">
        <f>MIN(I69+K69, 설정!$B$41)</f>
        <v/>
      </c>
      <c r="M69" s="8">
        <f>IF(L69&gt;=설정!$B$42,"●","")</f>
        <v/>
      </c>
      <c r="N69" s="17">
        <f>IF(M69="●",L69,0)</f>
        <v/>
      </c>
      <c r="O69" s="17">
        <f>IF(N69&gt;0,N69/설정!$B$44,0)</f>
        <v/>
      </c>
    </row>
    <row r="70">
      <c r="A70" s="15">
        <f>계산과정!A70</f>
        <v/>
      </c>
      <c r="B70" s="11">
        <f>계산과정!V70</f>
        <v/>
      </c>
      <c r="C70" s="12">
        <f>계산과정!W70</f>
        <v/>
      </c>
      <c r="D70" s="18">
        <f>계산과정!U70</f>
        <v/>
      </c>
      <c r="E70" s="18">
        <f>D70*C70</f>
        <v/>
      </c>
      <c r="F70" s="17">
        <f>원데이터!N70</f>
        <v/>
      </c>
      <c r="G70" s="17">
        <f>L69</f>
        <v/>
      </c>
      <c r="H70" s="17">
        <f>MAX(F70-G70, 0)</f>
        <v/>
      </c>
      <c r="I70" s="17">
        <f>MAX(G70-F70, 0)</f>
        <v/>
      </c>
      <c r="J70" s="18">
        <f>IF(I70&lt;=설정!$B$42, 1, (설정!$B$41-I70)/(설정!$B$41-설정!$B$42))</f>
        <v/>
      </c>
      <c r="K70" s="18">
        <f>J70*E70</f>
        <v/>
      </c>
      <c r="L70" s="17">
        <f>MIN(I70+K70, 설정!$B$41)</f>
        <v/>
      </c>
      <c r="M70" s="8">
        <f>IF(L70&gt;=설정!$B$42,"●","")</f>
        <v/>
      </c>
      <c r="N70" s="17">
        <f>IF(M70="●",L70,0)</f>
        <v/>
      </c>
      <c r="O70" s="17">
        <f>IF(N70&gt;0,N70/설정!$B$44,0)</f>
        <v/>
      </c>
    </row>
    <row r="71">
      <c r="A71" s="15">
        <f>계산과정!A71</f>
        <v/>
      </c>
      <c r="B71" s="11">
        <f>계산과정!V71</f>
        <v/>
      </c>
      <c r="C71" s="12">
        <f>계산과정!W71</f>
        <v/>
      </c>
      <c r="D71" s="18">
        <f>계산과정!U71</f>
        <v/>
      </c>
      <c r="E71" s="18">
        <f>D71*C71</f>
        <v/>
      </c>
      <c r="F71" s="17">
        <f>원데이터!N71</f>
        <v/>
      </c>
      <c r="G71" s="17">
        <f>L70</f>
        <v/>
      </c>
      <c r="H71" s="17">
        <f>MAX(F71-G71, 0)</f>
        <v/>
      </c>
      <c r="I71" s="17">
        <f>MAX(G71-F71, 0)</f>
        <v/>
      </c>
      <c r="J71" s="18">
        <f>IF(I71&lt;=설정!$B$42, 1, (설정!$B$41-I71)/(설정!$B$41-설정!$B$42))</f>
        <v/>
      </c>
      <c r="K71" s="18">
        <f>J71*E71</f>
        <v/>
      </c>
      <c r="L71" s="17">
        <f>MIN(I71+K71, 설정!$B$41)</f>
        <v/>
      </c>
      <c r="M71" s="8">
        <f>IF(L71&gt;=설정!$B$42,"●","")</f>
        <v/>
      </c>
      <c r="N71" s="17">
        <f>IF(M71="●",L71,0)</f>
        <v/>
      </c>
      <c r="O71" s="17">
        <f>IF(N71&gt;0,N71/설정!$B$44,0)</f>
        <v/>
      </c>
    </row>
    <row r="72">
      <c r="A72" s="15">
        <f>계산과정!A72</f>
        <v/>
      </c>
      <c r="B72" s="11">
        <f>계산과정!V72</f>
        <v/>
      </c>
      <c r="C72" s="12">
        <f>계산과정!W72</f>
        <v/>
      </c>
      <c r="D72" s="18">
        <f>계산과정!U72</f>
        <v/>
      </c>
      <c r="E72" s="18">
        <f>D72*C72</f>
        <v/>
      </c>
      <c r="F72" s="17">
        <f>원데이터!N72</f>
        <v/>
      </c>
      <c r="G72" s="17">
        <f>L71</f>
        <v/>
      </c>
      <c r="H72" s="17">
        <f>MAX(F72-G72, 0)</f>
        <v/>
      </c>
      <c r="I72" s="17">
        <f>MAX(G72-F72, 0)</f>
        <v/>
      </c>
      <c r="J72" s="18">
        <f>IF(I72&lt;=설정!$B$42, 1, (설정!$B$41-I72)/(설정!$B$41-설정!$B$42))</f>
        <v/>
      </c>
      <c r="K72" s="18">
        <f>J72*E72</f>
        <v/>
      </c>
      <c r="L72" s="17">
        <f>MIN(I72+K72, 설정!$B$41)</f>
        <v/>
      </c>
      <c r="M72" s="8">
        <f>IF(L72&gt;=설정!$B$42,"●","")</f>
        <v/>
      </c>
      <c r="N72" s="17">
        <f>IF(M72="●",L72,0)</f>
        <v/>
      </c>
      <c r="O72" s="17">
        <f>IF(N72&gt;0,N72/설정!$B$44,0)</f>
        <v/>
      </c>
    </row>
    <row r="73">
      <c r="A73" s="15">
        <f>계산과정!A73</f>
        <v/>
      </c>
      <c r="B73" s="11">
        <f>계산과정!V73</f>
        <v/>
      </c>
      <c r="C73" s="12">
        <f>계산과정!W73</f>
        <v/>
      </c>
      <c r="D73" s="18">
        <f>계산과정!U73</f>
        <v/>
      </c>
      <c r="E73" s="18">
        <f>D73*C73</f>
        <v/>
      </c>
      <c r="F73" s="17">
        <f>원데이터!N73</f>
        <v/>
      </c>
      <c r="G73" s="17">
        <f>L72</f>
        <v/>
      </c>
      <c r="H73" s="17">
        <f>MAX(F73-G73, 0)</f>
        <v/>
      </c>
      <c r="I73" s="17">
        <f>MAX(G73-F73, 0)</f>
        <v/>
      </c>
      <c r="J73" s="18">
        <f>IF(I73&lt;=설정!$B$42, 1, (설정!$B$41-I73)/(설정!$B$41-설정!$B$42))</f>
        <v/>
      </c>
      <c r="K73" s="18">
        <f>J73*E73</f>
        <v/>
      </c>
      <c r="L73" s="17">
        <f>MIN(I73+K73, 설정!$B$41)</f>
        <v/>
      </c>
      <c r="M73" s="8">
        <f>IF(L73&gt;=설정!$B$42,"●","")</f>
        <v/>
      </c>
      <c r="N73" s="17">
        <f>IF(M73="●",L73,0)</f>
        <v/>
      </c>
      <c r="O73" s="17">
        <f>IF(N73&gt;0,N73/설정!$B$44,0)</f>
        <v/>
      </c>
    </row>
    <row r="74">
      <c r="A74" s="15">
        <f>계산과정!A74</f>
        <v/>
      </c>
      <c r="B74" s="11">
        <f>계산과정!V74</f>
        <v/>
      </c>
      <c r="C74" s="12">
        <f>계산과정!W74</f>
        <v/>
      </c>
      <c r="D74" s="18">
        <f>계산과정!U74</f>
        <v/>
      </c>
      <c r="E74" s="18">
        <f>D74*C74</f>
        <v/>
      </c>
      <c r="F74" s="17">
        <f>원데이터!N74</f>
        <v/>
      </c>
      <c r="G74" s="17">
        <f>L73</f>
        <v/>
      </c>
      <c r="H74" s="17">
        <f>MAX(F74-G74, 0)</f>
        <v/>
      </c>
      <c r="I74" s="17">
        <f>MAX(G74-F74, 0)</f>
        <v/>
      </c>
      <c r="J74" s="18">
        <f>IF(I74&lt;=설정!$B$42, 1, (설정!$B$41-I74)/(설정!$B$41-설정!$B$42))</f>
        <v/>
      </c>
      <c r="K74" s="18">
        <f>J74*E74</f>
        <v/>
      </c>
      <c r="L74" s="17">
        <f>MIN(I74+K74, 설정!$B$41)</f>
        <v/>
      </c>
      <c r="M74" s="8">
        <f>IF(L74&gt;=설정!$B$42,"●","")</f>
        <v/>
      </c>
      <c r="N74" s="17">
        <f>IF(M74="●",L74,0)</f>
        <v/>
      </c>
      <c r="O74" s="17">
        <f>IF(N74&gt;0,N74/설정!$B$44,0)</f>
        <v/>
      </c>
    </row>
    <row r="75">
      <c r="A75" s="15">
        <f>계산과정!A75</f>
        <v/>
      </c>
      <c r="B75" s="11">
        <f>계산과정!V75</f>
        <v/>
      </c>
      <c r="C75" s="12">
        <f>계산과정!W75</f>
        <v/>
      </c>
      <c r="D75" s="18">
        <f>계산과정!U75</f>
        <v/>
      </c>
      <c r="E75" s="18">
        <f>D75*C75</f>
        <v/>
      </c>
      <c r="F75" s="17">
        <f>원데이터!N75</f>
        <v/>
      </c>
      <c r="G75" s="17">
        <f>L74</f>
        <v/>
      </c>
      <c r="H75" s="17">
        <f>MAX(F75-G75, 0)</f>
        <v/>
      </c>
      <c r="I75" s="17">
        <f>MAX(G75-F75, 0)</f>
        <v/>
      </c>
      <c r="J75" s="18">
        <f>IF(I75&lt;=설정!$B$42, 1, (설정!$B$41-I75)/(설정!$B$41-설정!$B$42))</f>
        <v/>
      </c>
      <c r="K75" s="18">
        <f>J75*E75</f>
        <v/>
      </c>
      <c r="L75" s="17">
        <f>MIN(I75+K75, 설정!$B$41)</f>
        <v/>
      </c>
      <c r="M75" s="8">
        <f>IF(L75&gt;=설정!$B$42,"●","")</f>
        <v/>
      </c>
      <c r="N75" s="17">
        <f>IF(M75="●",L75,0)</f>
        <v/>
      </c>
      <c r="O75" s="17">
        <f>IF(N75&gt;0,N75/설정!$B$44,0)</f>
        <v/>
      </c>
    </row>
    <row r="76">
      <c r="A76" s="15">
        <f>계산과정!A76</f>
        <v/>
      </c>
      <c r="B76" s="11">
        <f>계산과정!V76</f>
        <v/>
      </c>
      <c r="C76" s="12">
        <f>계산과정!W76</f>
        <v/>
      </c>
      <c r="D76" s="18">
        <f>계산과정!U76</f>
        <v/>
      </c>
      <c r="E76" s="18">
        <f>D76*C76</f>
        <v/>
      </c>
      <c r="F76" s="17">
        <f>원데이터!N76</f>
        <v/>
      </c>
      <c r="G76" s="17">
        <f>L75</f>
        <v/>
      </c>
      <c r="H76" s="17">
        <f>MAX(F76-G76, 0)</f>
        <v/>
      </c>
      <c r="I76" s="17">
        <f>MAX(G76-F76, 0)</f>
        <v/>
      </c>
      <c r="J76" s="18">
        <f>IF(I76&lt;=설정!$B$42, 1, (설정!$B$41-I76)/(설정!$B$41-설정!$B$42))</f>
        <v/>
      </c>
      <c r="K76" s="18">
        <f>J76*E76</f>
        <v/>
      </c>
      <c r="L76" s="17">
        <f>MIN(I76+K76, 설정!$B$41)</f>
        <v/>
      </c>
      <c r="M76" s="8">
        <f>IF(L76&gt;=설정!$B$42,"●","")</f>
        <v/>
      </c>
      <c r="N76" s="17">
        <f>IF(M76="●",L76,0)</f>
        <v/>
      </c>
      <c r="O76" s="17">
        <f>IF(N76&gt;0,N76/설정!$B$44,0)</f>
        <v/>
      </c>
    </row>
    <row r="77">
      <c r="A77" s="15">
        <f>계산과정!A77</f>
        <v/>
      </c>
      <c r="B77" s="11">
        <f>계산과정!V77</f>
        <v/>
      </c>
      <c r="C77" s="12">
        <f>계산과정!W77</f>
        <v/>
      </c>
      <c r="D77" s="18">
        <f>계산과정!U77</f>
        <v/>
      </c>
      <c r="E77" s="18">
        <f>D77*C77</f>
        <v/>
      </c>
      <c r="F77" s="17">
        <f>원데이터!N77</f>
        <v/>
      </c>
      <c r="G77" s="17">
        <f>L76</f>
        <v/>
      </c>
      <c r="H77" s="17">
        <f>MAX(F77-G77, 0)</f>
        <v/>
      </c>
      <c r="I77" s="17">
        <f>MAX(G77-F77, 0)</f>
        <v/>
      </c>
      <c r="J77" s="18">
        <f>IF(I77&lt;=설정!$B$42, 1, (설정!$B$41-I77)/(설정!$B$41-설정!$B$42))</f>
        <v/>
      </c>
      <c r="K77" s="18">
        <f>J77*E77</f>
        <v/>
      </c>
      <c r="L77" s="17">
        <f>MIN(I77+K77, 설정!$B$41)</f>
        <v/>
      </c>
      <c r="M77" s="8">
        <f>IF(L77&gt;=설정!$B$42,"●","")</f>
        <v/>
      </c>
      <c r="N77" s="17">
        <f>IF(M77="●",L77,0)</f>
        <v/>
      </c>
      <c r="O77" s="17">
        <f>IF(N77&gt;0,N77/설정!$B$44,0)</f>
        <v/>
      </c>
    </row>
    <row r="78">
      <c r="A78" s="15">
        <f>계산과정!A78</f>
        <v/>
      </c>
      <c r="B78" s="11">
        <f>계산과정!V78</f>
        <v/>
      </c>
      <c r="C78" s="12">
        <f>계산과정!W78</f>
        <v/>
      </c>
      <c r="D78" s="18">
        <f>계산과정!U78</f>
        <v/>
      </c>
      <c r="E78" s="18">
        <f>D78*C78</f>
        <v/>
      </c>
      <c r="F78" s="17">
        <f>원데이터!N78</f>
        <v/>
      </c>
      <c r="G78" s="17">
        <f>L77</f>
        <v/>
      </c>
      <c r="H78" s="17">
        <f>MAX(F78-G78, 0)</f>
        <v/>
      </c>
      <c r="I78" s="17">
        <f>MAX(G78-F78, 0)</f>
        <v/>
      </c>
      <c r="J78" s="18">
        <f>IF(I78&lt;=설정!$B$42, 1, (설정!$B$41-I78)/(설정!$B$41-설정!$B$42))</f>
        <v/>
      </c>
      <c r="K78" s="18">
        <f>J78*E78</f>
        <v/>
      </c>
      <c r="L78" s="17">
        <f>MIN(I78+K78, 설정!$B$41)</f>
        <v/>
      </c>
      <c r="M78" s="8">
        <f>IF(L78&gt;=설정!$B$42,"●","")</f>
        <v/>
      </c>
      <c r="N78" s="17">
        <f>IF(M78="●",L78,0)</f>
        <v/>
      </c>
      <c r="O78" s="17">
        <f>IF(N78&gt;0,N78/설정!$B$44,0)</f>
        <v/>
      </c>
    </row>
    <row r="79">
      <c r="A79" s="15">
        <f>계산과정!A79</f>
        <v/>
      </c>
      <c r="B79" s="11">
        <f>계산과정!V79</f>
        <v/>
      </c>
      <c r="C79" s="12">
        <f>계산과정!W79</f>
        <v/>
      </c>
      <c r="D79" s="18">
        <f>계산과정!U79</f>
        <v/>
      </c>
      <c r="E79" s="18">
        <f>D79*C79</f>
        <v/>
      </c>
      <c r="F79" s="17">
        <f>원데이터!N79</f>
        <v/>
      </c>
      <c r="G79" s="17">
        <f>L78</f>
        <v/>
      </c>
      <c r="H79" s="17">
        <f>MAX(F79-G79, 0)</f>
        <v/>
      </c>
      <c r="I79" s="17">
        <f>MAX(G79-F79, 0)</f>
        <v/>
      </c>
      <c r="J79" s="18">
        <f>IF(I79&lt;=설정!$B$42, 1, (설정!$B$41-I79)/(설정!$B$41-설정!$B$42))</f>
        <v/>
      </c>
      <c r="K79" s="18">
        <f>J79*E79</f>
        <v/>
      </c>
      <c r="L79" s="17">
        <f>MIN(I79+K79, 설정!$B$41)</f>
        <v/>
      </c>
      <c r="M79" s="8">
        <f>IF(L79&gt;=설정!$B$42,"●","")</f>
        <v/>
      </c>
      <c r="N79" s="17">
        <f>IF(M79="●",L79,0)</f>
        <v/>
      </c>
      <c r="O79" s="17">
        <f>IF(N79&gt;0,N79/설정!$B$44,0)</f>
        <v/>
      </c>
    </row>
    <row r="80">
      <c r="A80" s="15">
        <f>계산과정!A80</f>
        <v/>
      </c>
      <c r="B80" s="11">
        <f>계산과정!V80</f>
        <v/>
      </c>
      <c r="C80" s="12">
        <f>계산과정!W80</f>
        <v/>
      </c>
      <c r="D80" s="18">
        <f>계산과정!U80</f>
        <v/>
      </c>
      <c r="E80" s="18">
        <f>D80*C80</f>
        <v/>
      </c>
      <c r="F80" s="17">
        <f>원데이터!N80</f>
        <v/>
      </c>
      <c r="G80" s="17">
        <f>L79</f>
        <v/>
      </c>
      <c r="H80" s="17">
        <f>MAX(F80-G80, 0)</f>
        <v/>
      </c>
      <c r="I80" s="17">
        <f>MAX(G80-F80, 0)</f>
        <v/>
      </c>
      <c r="J80" s="18">
        <f>IF(I80&lt;=설정!$B$42, 1, (설정!$B$41-I80)/(설정!$B$41-설정!$B$42))</f>
        <v/>
      </c>
      <c r="K80" s="18">
        <f>J80*E80</f>
        <v/>
      </c>
      <c r="L80" s="17">
        <f>MIN(I80+K80, 설정!$B$41)</f>
        <v/>
      </c>
      <c r="M80" s="8">
        <f>IF(L80&gt;=설정!$B$42,"●","")</f>
        <v/>
      </c>
      <c r="N80" s="17">
        <f>IF(M80="●",L80,0)</f>
        <v/>
      </c>
      <c r="O80" s="17">
        <f>IF(N80&gt;0,N80/설정!$B$44,0)</f>
        <v/>
      </c>
    </row>
    <row r="81">
      <c r="A81" s="15">
        <f>계산과정!A81</f>
        <v/>
      </c>
      <c r="B81" s="11">
        <f>계산과정!V81</f>
        <v/>
      </c>
      <c r="C81" s="12">
        <f>계산과정!W81</f>
        <v/>
      </c>
      <c r="D81" s="18">
        <f>계산과정!U81</f>
        <v/>
      </c>
      <c r="E81" s="18">
        <f>D81*C81</f>
        <v/>
      </c>
      <c r="F81" s="17">
        <f>원데이터!N81</f>
        <v/>
      </c>
      <c r="G81" s="17">
        <f>L80</f>
        <v/>
      </c>
      <c r="H81" s="17">
        <f>MAX(F81-G81, 0)</f>
        <v/>
      </c>
      <c r="I81" s="17">
        <f>MAX(G81-F81, 0)</f>
        <v/>
      </c>
      <c r="J81" s="18">
        <f>IF(I81&lt;=설정!$B$42, 1, (설정!$B$41-I81)/(설정!$B$41-설정!$B$42))</f>
        <v/>
      </c>
      <c r="K81" s="18">
        <f>J81*E81</f>
        <v/>
      </c>
      <c r="L81" s="17">
        <f>MIN(I81+K81, 설정!$B$41)</f>
        <v/>
      </c>
      <c r="M81" s="8">
        <f>IF(L81&gt;=설정!$B$42,"●","")</f>
        <v/>
      </c>
      <c r="N81" s="17">
        <f>IF(M81="●",L81,0)</f>
        <v/>
      </c>
      <c r="O81" s="17">
        <f>IF(N81&gt;0,N81/설정!$B$44,0)</f>
        <v/>
      </c>
    </row>
    <row r="82">
      <c r="A82" s="15">
        <f>계산과정!A82</f>
        <v/>
      </c>
      <c r="B82" s="11">
        <f>계산과정!V82</f>
        <v/>
      </c>
      <c r="C82" s="12">
        <f>계산과정!W82</f>
        <v/>
      </c>
      <c r="D82" s="18">
        <f>계산과정!U82</f>
        <v/>
      </c>
      <c r="E82" s="18">
        <f>D82*C82</f>
        <v/>
      </c>
      <c r="F82" s="17">
        <f>원데이터!N82</f>
        <v/>
      </c>
      <c r="G82" s="17">
        <f>L81</f>
        <v/>
      </c>
      <c r="H82" s="17">
        <f>MAX(F82-G82, 0)</f>
        <v/>
      </c>
      <c r="I82" s="17">
        <f>MAX(G82-F82, 0)</f>
        <v/>
      </c>
      <c r="J82" s="18">
        <f>IF(I82&lt;=설정!$B$42, 1, (설정!$B$41-I82)/(설정!$B$41-설정!$B$42))</f>
        <v/>
      </c>
      <c r="K82" s="18">
        <f>J82*E82</f>
        <v/>
      </c>
      <c r="L82" s="17">
        <f>MIN(I82+K82, 설정!$B$41)</f>
        <v/>
      </c>
      <c r="M82" s="8">
        <f>IF(L82&gt;=설정!$B$42,"●","")</f>
        <v/>
      </c>
      <c r="N82" s="17">
        <f>IF(M82="●",L82,0)</f>
        <v/>
      </c>
      <c r="O82" s="17">
        <f>IF(N82&gt;0,N82/설정!$B$44,0)</f>
        <v/>
      </c>
    </row>
    <row r="83">
      <c r="A83" s="15">
        <f>계산과정!A83</f>
        <v/>
      </c>
      <c r="B83" s="11">
        <f>계산과정!V83</f>
        <v/>
      </c>
      <c r="C83" s="12">
        <f>계산과정!W83</f>
        <v/>
      </c>
      <c r="D83" s="18">
        <f>계산과정!U83</f>
        <v/>
      </c>
      <c r="E83" s="18">
        <f>D83*C83</f>
        <v/>
      </c>
      <c r="F83" s="17">
        <f>원데이터!N83</f>
        <v/>
      </c>
      <c r="G83" s="17">
        <f>L82</f>
        <v/>
      </c>
      <c r="H83" s="17">
        <f>MAX(F83-G83, 0)</f>
        <v/>
      </c>
      <c r="I83" s="17">
        <f>MAX(G83-F83, 0)</f>
        <v/>
      </c>
      <c r="J83" s="18">
        <f>IF(I83&lt;=설정!$B$42, 1, (설정!$B$41-I83)/(설정!$B$41-설정!$B$42))</f>
        <v/>
      </c>
      <c r="K83" s="18">
        <f>J83*E83</f>
        <v/>
      </c>
      <c r="L83" s="17">
        <f>MIN(I83+K83, 설정!$B$41)</f>
        <v/>
      </c>
      <c r="M83" s="8">
        <f>IF(L83&gt;=설정!$B$42,"●","")</f>
        <v/>
      </c>
      <c r="N83" s="17">
        <f>IF(M83="●",L83,0)</f>
        <v/>
      </c>
      <c r="O83" s="17">
        <f>IF(N83&gt;0,N83/설정!$B$44,0)</f>
        <v/>
      </c>
    </row>
    <row r="84">
      <c r="A84" s="15">
        <f>계산과정!A84</f>
        <v/>
      </c>
      <c r="B84" s="11">
        <f>계산과정!V84</f>
        <v/>
      </c>
      <c r="C84" s="12">
        <f>계산과정!W84</f>
        <v/>
      </c>
      <c r="D84" s="18">
        <f>계산과정!U84</f>
        <v/>
      </c>
      <c r="E84" s="18">
        <f>D84*C84</f>
        <v/>
      </c>
      <c r="F84" s="17">
        <f>원데이터!N84</f>
        <v/>
      </c>
      <c r="G84" s="17">
        <f>L83</f>
        <v/>
      </c>
      <c r="H84" s="17">
        <f>MAX(F84-G84, 0)</f>
        <v/>
      </c>
      <c r="I84" s="17">
        <f>MAX(G84-F84, 0)</f>
        <v/>
      </c>
      <c r="J84" s="18">
        <f>IF(I84&lt;=설정!$B$42, 1, (설정!$B$41-I84)/(설정!$B$41-설정!$B$42))</f>
        <v/>
      </c>
      <c r="K84" s="18">
        <f>J84*E84</f>
        <v/>
      </c>
      <c r="L84" s="17">
        <f>MIN(I84+K84, 설정!$B$41)</f>
        <v/>
      </c>
      <c r="M84" s="8">
        <f>IF(L84&gt;=설정!$B$42,"●","")</f>
        <v/>
      </c>
      <c r="N84" s="17">
        <f>IF(M84="●",L84,0)</f>
        <v/>
      </c>
      <c r="O84" s="17">
        <f>IF(N84&gt;0,N84/설정!$B$44,0)</f>
        <v/>
      </c>
    </row>
    <row r="85">
      <c r="A85" s="15">
        <f>계산과정!A85</f>
        <v/>
      </c>
      <c r="B85" s="11">
        <f>계산과정!V85</f>
        <v/>
      </c>
      <c r="C85" s="12">
        <f>계산과정!W85</f>
        <v/>
      </c>
      <c r="D85" s="18">
        <f>계산과정!U85</f>
        <v/>
      </c>
      <c r="E85" s="18">
        <f>D85*C85</f>
        <v/>
      </c>
      <c r="F85" s="17">
        <f>원데이터!N85</f>
        <v/>
      </c>
      <c r="G85" s="17">
        <f>L84</f>
        <v/>
      </c>
      <c r="H85" s="17">
        <f>MAX(F85-G85, 0)</f>
        <v/>
      </c>
      <c r="I85" s="17">
        <f>MAX(G85-F85, 0)</f>
        <v/>
      </c>
      <c r="J85" s="18">
        <f>IF(I85&lt;=설정!$B$42, 1, (설정!$B$41-I85)/(설정!$B$41-설정!$B$42))</f>
        <v/>
      </c>
      <c r="K85" s="18">
        <f>J85*E85</f>
        <v/>
      </c>
      <c r="L85" s="17">
        <f>MIN(I85+K85, 설정!$B$41)</f>
        <v/>
      </c>
      <c r="M85" s="8">
        <f>IF(L85&gt;=설정!$B$42,"●","")</f>
        <v/>
      </c>
      <c r="N85" s="17">
        <f>IF(M85="●",L85,0)</f>
        <v/>
      </c>
      <c r="O85" s="17">
        <f>IF(N85&gt;0,N85/설정!$B$44,0)</f>
        <v/>
      </c>
    </row>
    <row r="86">
      <c r="A86" s="15">
        <f>계산과정!A86</f>
        <v/>
      </c>
      <c r="B86" s="11">
        <f>계산과정!V86</f>
        <v/>
      </c>
      <c r="C86" s="12">
        <f>계산과정!W86</f>
        <v/>
      </c>
      <c r="D86" s="18">
        <f>계산과정!U86</f>
        <v/>
      </c>
      <c r="E86" s="18">
        <f>D86*C86</f>
        <v/>
      </c>
      <c r="F86" s="17">
        <f>원데이터!N86</f>
        <v/>
      </c>
      <c r="G86" s="17">
        <f>L85</f>
        <v/>
      </c>
      <c r="H86" s="17">
        <f>MAX(F86-G86, 0)</f>
        <v/>
      </c>
      <c r="I86" s="17">
        <f>MAX(G86-F86, 0)</f>
        <v/>
      </c>
      <c r="J86" s="18">
        <f>IF(I86&lt;=설정!$B$42, 1, (설정!$B$41-I86)/(설정!$B$41-설정!$B$42))</f>
        <v/>
      </c>
      <c r="K86" s="18">
        <f>J86*E86</f>
        <v/>
      </c>
      <c r="L86" s="17">
        <f>MIN(I86+K86, 설정!$B$41)</f>
        <v/>
      </c>
      <c r="M86" s="8">
        <f>IF(L86&gt;=설정!$B$42,"●","")</f>
        <v/>
      </c>
      <c r="N86" s="17">
        <f>IF(M86="●",L86,0)</f>
        <v/>
      </c>
      <c r="O86" s="17">
        <f>IF(N86&gt;0,N86/설정!$B$44,0)</f>
        <v/>
      </c>
    </row>
    <row r="87">
      <c r="A87" s="15">
        <f>계산과정!A87</f>
        <v/>
      </c>
      <c r="B87" s="11">
        <f>계산과정!V87</f>
        <v/>
      </c>
      <c r="C87" s="12">
        <f>계산과정!W87</f>
        <v/>
      </c>
      <c r="D87" s="18">
        <f>계산과정!U87</f>
        <v/>
      </c>
      <c r="E87" s="18">
        <f>D87*C87</f>
        <v/>
      </c>
      <c r="F87" s="17">
        <f>원데이터!N87</f>
        <v/>
      </c>
      <c r="G87" s="17">
        <f>L86</f>
        <v/>
      </c>
      <c r="H87" s="17">
        <f>MAX(F87-G87, 0)</f>
        <v/>
      </c>
      <c r="I87" s="17">
        <f>MAX(G87-F87, 0)</f>
        <v/>
      </c>
      <c r="J87" s="18">
        <f>IF(I87&lt;=설정!$B$42, 1, (설정!$B$41-I87)/(설정!$B$41-설정!$B$42))</f>
        <v/>
      </c>
      <c r="K87" s="18">
        <f>J87*E87</f>
        <v/>
      </c>
      <c r="L87" s="17">
        <f>MIN(I87+K87, 설정!$B$41)</f>
        <v/>
      </c>
      <c r="M87" s="8">
        <f>IF(L87&gt;=설정!$B$42,"●","")</f>
        <v/>
      </c>
      <c r="N87" s="17">
        <f>IF(M87="●",L87,0)</f>
        <v/>
      </c>
      <c r="O87" s="17">
        <f>IF(N87&gt;0,N87/설정!$B$44,0)</f>
        <v/>
      </c>
    </row>
    <row r="88">
      <c r="A88" s="15">
        <f>계산과정!A88</f>
        <v/>
      </c>
      <c r="B88" s="11">
        <f>계산과정!V88</f>
        <v/>
      </c>
      <c r="C88" s="12">
        <f>계산과정!W88</f>
        <v/>
      </c>
      <c r="D88" s="18">
        <f>계산과정!U88</f>
        <v/>
      </c>
      <c r="E88" s="18">
        <f>D88*C88</f>
        <v/>
      </c>
      <c r="F88" s="17">
        <f>원데이터!N88</f>
        <v/>
      </c>
      <c r="G88" s="17">
        <f>L87</f>
        <v/>
      </c>
      <c r="H88" s="17">
        <f>MAX(F88-G88, 0)</f>
        <v/>
      </c>
      <c r="I88" s="17">
        <f>MAX(G88-F88, 0)</f>
        <v/>
      </c>
      <c r="J88" s="18">
        <f>IF(I88&lt;=설정!$B$42, 1, (설정!$B$41-I88)/(설정!$B$41-설정!$B$42))</f>
        <v/>
      </c>
      <c r="K88" s="18">
        <f>J88*E88</f>
        <v/>
      </c>
      <c r="L88" s="17">
        <f>MIN(I88+K88, 설정!$B$41)</f>
        <v/>
      </c>
      <c r="M88" s="8">
        <f>IF(L88&gt;=설정!$B$42,"●","")</f>
        <v/>
      </c>
      <c r="N88" s="17">
        <f>IF(M88="●",L88,0)</f>
        <v/>
      </c>
      <c r="O88" s="17">
        <f>IF(N88&gt;0,N88/설정!$B$44,0)</f>
        <v/>
      </c>
    </row>
    <row r="89">
      <c r="A89" s="15">
        <f>계산과정!A89</f>
        <v/>
      </c>
      <c r="B89" s="11">
        <f>계산과정!V89</f>
        <v/>
      </c>
      <c r="C89" s="12">
        <f>계산과정!W89</f>
        <v/>
      </c>
      <c r="D89" s="18">
        <f>계산과정!U89</f>
        <v/>
      </c>
      <c r="E89" s="18">
        <f>D89*C89</f>
        <v/>
      </c>
      <c r="F89" s="17">
        <f>원데이터!N89</f>
        <v/>
      </c>
      <c r="G89" s="17">
        <f>L88</f>
        <v/>
      </c>
      <c r="H89" s="17">
        <f>MAX(F89-G89, 0)</f>
        <v/>
      </c>
      <c r="I89" s="17">
        <f>MAX(G89-F89, 0)</f>
        <v/>
      </c>
      <c r="J89" s="18">
        <f>IF(I89&lt;=설정!$B$42, 1, (설정!$B$41-I89)/(설정!$B$41-설정!$B$42))</f>
        <v/>
      </c>
      <c r="K89" s="18">
        <f>J89*E89</f>
        <v/>
      </c>
      <c r="L89" s="17">
        <f>MIN(I89+K89, 설정!$B$41)</f>
        <v/>
      </c>
      <c r="M89" s="8">
        <f>IF(L89&gt;=설정!$B$42,"●","")</f>
        <v/>
      </c>
      <c r="N89" s="17">
        <f>IF(M89="●",L89,0)</f>
        <v/>
      </c>
      <c r="O89" s="17">
        <f>IF(N89&gt;0,N89/설정!$B$44,0)</f>
        <v/>
      </c>
    </row>
    <row r="90">
      <c r="A90" s="15">
        <f>계산과정!A90</f>
        <v/>
      </c>
      <c r="B90" s="11">
        <f>계산과정!V90</f>
        <v/>
      </c>
      <c r="C90" s="12">
        <f>계산과정!W90</f>
        <v/>
      </c>
      <c r="D90" s="18">
        <f>계산과정!U90</f>
        <v/>
      </c>
      <c r="E90" s="18">
        <f>D90*C90</f>
        <v/>
      </c>
      <c r="F90" s="17">
        <f>원데이터!N90</f>
        <v/>
      </c>
      <c r="G90" s="17">
        <f>L89</f>
        <v/>
      </c>
      <c r="H90" s="17">
        <f>MAX(F90-G90, 0)</f>
        <v/>
      </c>
      <c r="I90" s="17">
        <f>MAX(G90-F90, 0)</f>
        <v/>
      </c>
      <c r="J90" s="18">
        <f>IF(I90&lt;=설정!$B$42, 1, (설정!$B$41-I90)/(설정!$B$41-설정!$B$42))</f>
        <v/>
      </c>
      <c r="K90" s="18">
        <f>J90*E90</f>
        <v/>
      </c>
      <c r="L90" s="17">
        <f>MIN(I90+K90, 설정!$B$41)</f>
        <v/>
      </c>
      <c r="M90" s="8">
        <f>IF(L90&gt;=설정!$B$42,"●","")</f>
        <v/>
      </c>
      <c r="N90" s="17">
        <f>IF(M90="●",L90,0)</f>
        <v/>
      </c>
      <c r="O90" s="17">
        <f>IF(N90&gt;0,N90/설정!$B$44,0)</f>
        <v/>
      </c>
    </row>
    <row r="91">
      <c r="A91" s="15">
        <f>계산과정!A91</f>
        <v/>
      </c>
      <c r="B91" s="11">
        <f>계산과정!V91</f>
        <v/>
      </c>
      <c r="C91" s="12">
        <f>계산과정!W91</f>
        <v/>
      </c>
      <c r="D91" s="18">
        <f>계산과정!U91</f>
        <v/>
      </c>
      <c r="E91" s="18">
        <f>D91*C91</f>
        <v/>
      </c>
      <c r="F91" s="17">
        <f>원데이터!N91</f>
        <v/>
      </c>
      <c r="G91" s="17">
        <f>L90</f>
        <v/>
      </c>
      <c r="H91" s="17">
        <f>MAX(F91-G91, 0)</f>
        <v/>
      </c>
      <c r="I91" s="17">
        <f>MAX(G91-F91, 0)</f>
        <v/>
      </c>
      <c r="J91" s="18">
        <f>IF(I91&lt;=설정!$B$42, 1, (설정!$B$41-I91)/(설정!$B$41-설정!$B$42))</f>
        <v/>
      </c>
      <c r="K91" s="18">
        <f>J91*E91</f>
        <v/>
      </c>
      <c r="L91" s="17">
        <f>MIN(I91+K91, 설정!$B$41)</f>
        <v/>
      </c>
      <c r="M91" s="8">
        <f>IF(L91&gt;=설정!$B$42,"●","")</f>
        <v/>
      </c>
      <c r="N91" s="17">
        <f>IF(M91="●",L91,0)</f>
        <v/>
      </c>
      <c r="O91" s="17">
        <f>IF(N91&gt;0,N91/설정!$B$44,0)</f>
        <v/>
      </c>
    </row>
    <row r="92">
      <c r="A92" s="15">
        <f>계산과정!A92</f>
        <v/>
      </c>
      <c r="B92" s="11">
        <f>계산과정!V92</f>
        <v/>
      </c>
      <c r="C92" s="12">
        <f>계산과정!W92</f>
        <v/>
      </c>
      <c r="D92" s="18">
        <f>계산과정!U92</f>
        <v/>
      </c>
      <c r="E92" s="18">
        <f>D92*C92</f>
        <v/>
      </c>
      <c r="F92" s="17">
        <f>원데이터!N92</f>
        <v/>
      </c>
      <c r="G92" s="17">
        <f>L91</f>
        <v/>
      </c>
      <c r="H92" s="17">
        <f>MAX(F92-G92, 0)</f>
        <v/>
      </c>
      <c r="I92" s="17">
        <f>MAX(G92-F92, 0)</f>
        <v/>
      </c>
      <c r="J92" s="18">
        <f>IF(I92&lt;=설정!$B$42, 1, (설정!$B$41-I92)/(설정!$B$41-설정!$B$42))</f>
        <v/>
      </c>
      <c r="K92" s="18">
        <f>J92*E92</f>
        <v/>
      </c>
      <c r="L92" s="17">
        <f>MIN(I92+K92, 설정!$B$41)</f>
        <v/>
      </c>
      <c r="M92" s="8">
        <f>IF(L92&gt;=설정!$B$42,"●","")</f>
        <v/>
      </c>
      <c r="N92" s="17">
        <f>IF(M92="●",L92,0)</f>
        <v/>
      </c>
      <c r="O92" s="17">
        <f>IF(N92&gt;0,N92/설정!$B$44,0)</f>
        <v/>
      </c>
    </row>
    <row r="93">
      <c r="A93" s="15">
        <f>계산과정!A93</f>
        <v/>
      </c>
      <c r="B93" s="11">
        <f>계산과정!V93</f>
        <v/>
      </c>
      <c r="C93" s="12">
        <f>계산과정!W93</f>
        <v/>
      </c>
      <c r="D93" s="18">
        <f>계산과정!U93</f>
        <v/>
      </c>
      <c r="E93" s="18">
        <f>D93*C93</f>
        <v/>
      </c>
      <c r="F93" s="17">
        <f>원데이터!N93</f>
        <v/>
      </c>
      <c r="G93" s="17">
        <f>L92</f>
        <v/>
      </c>
      <c r="H93" s="17">
        <f>MAX(F93-G93, 0)</f>
        <v/>
      </c>
      <c r="I93" s="17">
        <f>MAX(G93-F93, 0)</f>
        <v/>
      </c>
      <c r="J93" s="18">
        <f>IF(I93&lt;=설정!$B$42, 1, (설정!$B$41-I93)/(설정!$B$41-설정!$B$42))</f>
        <v/>
      </c>
      <c r="K93" s="18">
        <f>J93*E93</f>
        <v/>
      </c>
      <c r="L93" s="17">
        <f>MIN(I93+K93, 설정!$B$41)</f>
        <v/>
      </c>
      <c r="M93" s="8">
        <f>IF(L93&gt;=설정!$B$42,"●","")</f>
        <v/>
      </c>
      <c r="N93" s="17">
        <f>IF(M93="●",L93,0)</f>
        <v/>
      </c>
      <c r="O93" s="17">
        <f>IF(N93&gt;0,N93/설정!$B$44,0)</f>
        <v/>
      </c>
    </row>
    <row r="94">
      <c r="A94" s="15">
        <f>계산과정!A94</f>
        <v/>
      </c>
      <c r="B94" s="11">
        <f>계산과정!V94</f>
        <v/>
      </c>
      <c r="C94" s="12">
        <f>계산과정!W94</f>
        <v/>
      </c>
      <c r="D94" s="18">
        <f>계산과정!U94</f>
        <v/>
      </c>
      <c r="E94" s="18">
        <f>D94*C94</f>
        <v/>
      </c>
      <c r="F94" s="17">
        <f>원데이터!N94</f>
        <v/>
      </c>
      <c r="G94" s="17">
        <f>L93</f>
        <v/>
      </c>
      <c r="H94" s="17">
        <f>MAX(F94-G94, 0)</f>
        <v/>
      </c>
      <c r="I94" s="17">
        <f>MAX(G94-F94, 0)</f>
        <v/>
      </c>
      <c r="J94" s="18">
        <f>IF(I94&lt;=설정!$B$42, 1, (설정!$B$41-I94)/(설정!$B$41-설정!$B$42))</f>
        <v/>
      </c>
      <c r="K94" s="18">
        <f>J94*E94</f>
        <v/>
      </c>
      <c r="L94" s="17">
        <f>MIN(I94+K94, 설정!$B$41)</f>
        <v/>
      </c>
      <c r="M94" s="8">
        <f>IF(L94&gt;=설정!$B$42,"●","")</f>
        <v/>
      </c>
      <c r="N94" s="17">
        <f>IF(M94="●",L94,0)</f>
        <v/>
      </c>
      <c r="O94" s="17">
        <f>IF(N94&gt;0,N94/설정!$B$44,0)</f>
        <v/>
      </c>
    </row>
    <row r="95">
      <c r="A95" s="15">
        <f>계산과정!A95</f>
        <v/>
      </c>
      <c r="B95" s="11">
        <f>계산과정!V95</f>
        <v/>
      </c>
      <c r="C95" s="12">
        <f>계산과정!W95</f>
        <v/>
      </c>
      <c r="D95" s="18">
        <f>계산과정!U95</f>
        <v/>
      </c>
      <c r="E95" s="18">
        <f>D95*C95</f>
        <v/>
      </c>
      <c r="F95" s="17">
        <f>원데이터!N95</f>
        <v/>
      </c>
      <c r="G95" s="17">
        <f>L94</f>
        <v/>
      </c>
      <c r="H95" s="17">
        <f>MAX(F95-G95, 0)</f>
        <v/>
      </c>
      <c r="I95" s="17">
        <f>MAX(G95-F95, 0)</f>
        <v/>
      </c>
      <c r="J95" s="18">
        <f>IF(I95&lt;=설정!$B$42, 1, (설정!$B$41-I95)/(설정!$B$41-설정!$B$42))</f>
        <v/>
      </c>
      <c r="K95" s="18">
        <f>J95*E95</f>
        <v/>
      </c>
      <c r="L95" s="17">
        <f>MIN(I95+K95, 설정!$B$41)</f>
        <v/>
      </c>
      <c r="M95" s="8">
        <f>IF(L95&gt;=설정!$B$42,"●","")</f>
        <v/>
      </c>
      <c r="N95" s="17">
        <f>IF(M95="●",L95,0)</f>
        <v/>
      </c>
      <c r="O95" s="17">
        <f>IF(N95&gt;0,N95/설정!$B$44,0)</f>
        <v/>
      </c>
    </row>
    <row r="96">
      <c r="A96" s="15">
        <f>계산과정!A96</f>
        <v/>
      </c>
      <c r="B96" s="11">
        <f>계산과정!V96</f>
        <v/>
      </c>
      <c r="C96" s="12">
        <f>계산과정!W96</f>
        <v/>
      </c>
      <c r="D96" s="18">
        <f>계산과정!U96</f>
        <v/>
      </c>
      <c r="E96" s="18">
        <f>D96*C96</f>
        <v/>
      </c>
      <c r="F96" s="17">
        <f>원데이터!N96</f>
        <v/>
      </c>
      <c r="G96" s="17">
        <f>L95</f>
        <v/>
      </c>
      <c r="H96" s="17">
        <f>MAX(F96-G96, 0)</f>
        <v/>
      </c>
      <c r="I96" s="17">
        <f>MAX(G96-F96, 0)</f>
        <v/>
      </c>
      <c r="J96" s="18">
        <f>IF(I96&lt;=설정!$B$42, 1, (설정!$B$41-I96)/(설정!$B$41-설정!$B$42))</f>
        <v/>
      </c>
      <c r="K96" s="18">
        <f>J96*E96</f>
        <v/>
      </c>
      <c r="L96" s="17">
        <f>MIN(I96+K96, 설정!$B$41)</f>
        <v/>
      </c>
      <c r="M96" s="8">
        <f>IF(L96&gt;=설정!$B$42,"●","")</f>
        <v/>
      </c>
      <c r="N96" s="17">
        <f>IF(M96="●",L96,0)</f>
        <v/>
      </c>
      <c r="O96" s="17">
        <f>IF(N96&gt;0,N96/설정!$B$44,0)</f>
        <v/>
      </c>
    </row>
    <row r="97">
      <c r="A97" s="15">
        <f>계산과정!A97</f>
        <v/>
      </c>
      <c r="B97" s="11">
        <f>계산과정!V97</f>
        <v/>
      </c>
      <c r="C97" s="12">
        <f>계산과정!W97</f>
        <v/>
      </c>
      <c r="D97" s="18">
        <f>계산과정!U97</f>
        <v/>
      </c>
      <c r="E97" s="18">
        <f>D97*C97</f>
        <v/>
      </c>
      <c r="F97" s="17">
        <f>원데이터!N97</f>
        <v/>
      </c>
      <c r="G97" s="17">
        <f>L96</f>
        <v/>
      </c>
      <c r="H97" s="17">
        <f>MAX(F97-G97, 0)</f>
        <v/>
      </c>
      <c r="I97" s="17">
        <f>MAX(G97-F97, 0)</f>
        <v/>
      </c>
      <c r="J97" s="18">
        <f>IF(I97&lt;=설정!$B$42, 1, (설정!$B$41-I97)/(설정!$B$41-설정!$B$42))</f>
        <v/>
      </c>
      <c r="K97" s="18">
        <f>J97*E97</f>
        <v/>
      </c>
      <c r="L97" s="17">
        <f>MIN(I97+K97, 설정!$B$41)</f>
        <v/>
      </c>
      <c r="M97" s="8">
        <f>IF(L97&gt;=설정!$B$42,"●","")</f>
        <v/>
      </c>
      <c r="N97" s="17">
        <f>IF(M97="●",L97,0)</f>
        <v/>
      </c>
      <c r="O97" s="17">
        <f>IF(N97&gt;0,N97/설정!$B$44,0)</f>
        <v/>
      </c>
    </row>
    <row r="98">
      <c r="A98" s="15">
        <f>계산과정!A98</f>
        <v/>
      </c>
      <c r="B98" s="11">
        <f>계산과정!V98</f>
        <v/>
      </c>
      <c r="C98" s="12">
        <f>계산과정!W98</f>
        <v/>
      </c>
      <c r="D98" s="18">
        <f>계산과정!U98</f>
        <v/>
      </c>
      <c r="E98" s="18">
        <f>D98*C98</f>
        <v/>
      </c>
      <c r="F98" s="17">
        <f>원데이터!N98</f>
        <v/>
      </c>
      <c r="G98" s="17">
        <f>L97</f>
        <v/>
      </c>
      <c r="H98" s="17">
        <f>MAX(F98-G98, 0)</f>
        <v/>
      </c>
      <c r="I98" s="17">
        <f>MAX(G98-F98, 0)</f>
        <v/>
      </c>
      <c r="J98" s="18">
        <f>IF(I98&lt;=설정!$B$42, 1, (설정!$B$41-I98)/(설정!$B$41-설정!$B$42))</f>
        <v/>
      </c>
      <c r="K98" s="18">
        <f>J98*E98</f>
        <v/>
      </c>
      <c r="L98" s="17">
        <f>MIN(I98+K98, 설정!$B$41)</f>
        <v/>
      </c>
      <c r="M98" s="8">
        <f>IF(L98&gt;=설정!$B$42,"●","")</f>
        <v/>
      </c>
      <c r="N98" s="17">
        <f>IF(M98="●",L98,0)</f>
        <v/>
      </c>
      <c r="O98" s="17">
        <f>IF(N98&gt;0,N98/설정!$B$44,0)</f>
        <v/>
      </c>
    </row>
    <row r="99">
      <c r="A99" s="15">
        <f>계산과정!A99</f>
        <v/>
      </c>
      <c r="B99" s="11">
        <f>계산과정!V99</f>
        <v/>
      </c>
      <c r="C99" s="12">
        <f>계산과정!W99</f>
        <v/>
      </c>
      <c r="D99" s="18">
        <f>계산과정!U99</f>
        <v/>
      </c>
      <c r="E99" s="18">
        <f>D99*C99</f>
        <v/>
      </c>
      <c r="F99" s="17">
        <f>원데이터!N99</f>
        <v/>
      </c>
      <c r="G99" s="17">
        <f>L98</f>
        <v/>
      </c>
      <c r="H99" s="17">
        <f>MAX(F99-G99, 0)</f>
        <v/>
      </c>
      <c r="I99" s="17">
        <f>MAX(G99-F99, 0)</f>
        <v/>
      </c>
      <c r="J99" s="18">
        <f>IF(I99&lt;=설정!$B$42, 1, (설정!$B$41-I99)/(설정!$B$41-설정!$B$42))</f>
        <v/>
      </c>
      <c r="K99" s="18">
        <f>J99*E99</f>
        <v/>
      </c>
      <c r="L99" s="17">
        <f>MIN(I99+K99, 설정!$B$41)</f>
        <v/>
      </c>
      <c r="M99" s="8">
        <f>IF(L99&gt;=설정!$B$42,"●","")</f>
        <v/>
      </c>
      <c r="N99" s="17">
        <f>IF(M99="●",L99,0)</f>
        <v/>
      </c>
      <c r="O99" s="17">
        <f>IF(N99&gt;0,N99/설정!$B$44,0)</f>
        <v/>
      </c>
    </row>
    <row r="100">
      <c r="A100" s="15">
        <f>계산과정!A100</f>
        <v/>
      </c>
      <c r="B100" s="11">
        <f>계산과정!V100</f>
        <v/>
      </c>
      <c r="C100" s="12">
        <f>계산과정!W100</f>
        <v/>
      </c>
      <c r="D100" s="18">
        <f>계산과정!U100</f>
        <v/>
      </c>
      <c r="E100" s="18">
        <f>D100*C100</f>
        <v/>
      </c>
      <c r="F100" s="17">
        <f>원데이터!N100</f>
        <v/>
      </c>
      <c r="G100" s="17">
        <f>L99</f>
        <v/>
      </c>
      <c r="H100" s="17">
        <f>MAX(F100-G100, 0)</f>
        <v/>
      </c>
      <c r="I100" s="17">
        <f>MAX(G100-F100, 0)</f>
        <v/>
      </c>
      <c r="J100" s="18">
        <f>IF(I100&lt;=설정!$B$42, 1, (설정!$B$41-I100)/(설정!$B$41-설정!$B$42))</f>
        <v/>
      </c>
      <c r="K100" s="18">
        <f>J100*E100</f>
        <v/>
      </c>
      <c r="L100" s="17">
        <f>MIN(I100+K100, 설정!$B$41)</f>
        <v/>
      </c>
      <c r="M100" s="8">
        <f>IF(L100&gt;=설정!$B$42,"●","")</f>
        <v/>
      </c>
      <c r="N100" s="17">
        <f>IF(M100="●",L100,0)</f>
        <v/>
      </c>
      <c r="O100" s="17">
        <f>IF(N100&gt;0,N100/설정!$B$44,0)</f>
        <v/>
      </c>
    </row>
    <row r="101">
      <c r="A101" s="15">
        <f>계산과정!A101</f>
        <v/>
      </c>
      <c r="B101" s="11">
        <f>계산과정!V101</f>
        <v/>
      </c>
      <c r="C101" s="12">
        <f>계산과정!W101</f>
        <v/>
      </c>
      <c r="D101" s="18">
        <f>계산과정!U101</f>
        <v/>
      </c>
      <c r="E101" s="18">
        <f>D101*C101</f>
        <v/>
      </c>
      <c r="F101" s="17">
        <f>원데이터!N101</f>
        <v/>
      </c>
      <c r="G101" s="17">
        <f>L100</f>
        <v/>
      </c>
      <c r="H101" s="17">
        <f>MAX(F101-G101, 0)</f>
        <v/>
      </c>
      <c r="I101" s="17">
        <f>MAX(G101-F101, 0)</f>
        <v/>
      </c>
      <c r="J101" s="18">
        <f>IF(I101&lt;=설정!$B$42, 1, (설정!$B$41-I101)/(설정!$B$41-설정!$B$42))</f>
        <v/>
      </c>
      <c r="K101" s="18">
        <f>J101*E101</f>
        <v/>
      </c>
      <c r="L101" s="17">
        <f>MIN(I101+K101, 설정!$B$41)</f>
        <v/>
      </c>
      <c r="M101" s="8">
        <f>IF(L101&gt;=설정!$B$42,"●","")</f>
        <v/>
      </c>
      <c r="N101" s="17">
        <f>IF(M101="●",L101,0)</f>
        <v/>
      </c>
      <c r="O101" s="17">
        <f>IF(N101&gt;0,N101/설정!$B$44,0)</f>
        <v/>
      </c>
    </row>
    <row r="102">
      <c r="A102" s="15">
        <f>계산과정!A102</f>
        <v/>
      </c>
      <c r="B102" s="11">
        <f>계산과정!V102</f>
        <v/>
      </c>
      <c r="C102" s="12">
        <f>계산과정!W102</f>
        <v/>
      </c>
      <c r="D102" s="18">
        <f>계산과정!U102</f>
        <v/>
      </c>
      <c r="E102" s="18">
        <f>D102*C102</f>
        <v/>
      </c>
      <c r="F102" s="17">
        <f>원데이터!N102</f>
        <v/>
      </c>
      <c r="G102" s="17">
        <f>L101</f>
        <v/>
      </c>
      <c r="H102" s="17">
        <f>MAX(F102-G102, 0)</f>
        <v/>
      </c>
      <c r="I102" s="17">
        <f>MAX(G102-F102, 0)</f>
        <v/>
      </c>
      <c r="J102" s="18">
        <f>IF(I102&lt;=설정!$B$42, 1, (설정!$B$41-I102)/(설정!$B$41-설정!$B$42))</f>
        <v/>
      </c>
      <c r="K102" s="18">
        <f>J102*E102</f>
        <v/>
      </c>
      <c r="L102" s="17">
        <f>MIN(I102+K102, 설정!$B$41)</f>
        <v/>
      </c>
      <c r="M102" s="8">
        <f>IF(L102&gt;=설정!$B$42,"●","")</f>
        <v/>
      </c>
      <c r="N102" s="17">
        <f>IF(M102="●",L102,0)</f>
        <v/>
      </c>
      <c r="O102" s="17">
        <f>IF(N102&gt;0,N102/설정!$B$44,0)</f>
        <v/>
      </c>
    </row>
    <row r="103">
      <c r="A103" s="15">
        <f>계산과정!A103</f>
        <v/>
      </c>
      <c r="B103" s="11">
        <f>계산과정!V103</f>
        <v/>
      </c>
      <c r="C103" s="12">
        <f>계산과정!W103</f>
        <v/>
      </c>
      <c r="D103" s="18">
        <f>계산과정!U103</f>
        <v/>
      </c>
      <c r="E103" s="18">
        <f>D103*C103</f>
        <v/>
      </c>
      <c r="F103" s="17">
        <f>원데이터!N103</f>
        <v/>
      </c>
      <c r="G103" s="17">
        <f>L102</f>
        <v/>
      </c>
      <c r="H103" s="17">
        <f>MAX(F103-G103, 0)</f>
        <v/>
      </c>
      <c r="I103" s="17">
        <f>MAX(G103-F103, 0)</f>
        <v/>
      </c>
      <c r="J103" s="18">
        <f>IF(I103&lt;=설정!$B$42, 1, (설정!$B$41-I103)/(설정!$B$41-설정!$B$42))</f>
        <v/>
      </c>
      <c r="K103" s="18">
        <f>J103*E103</f>
        <v/>
      </c>
      <c r="L103" s="17">
        <f>MIN(I103+K103, 설정!$B$41)</f>
        <v/>
      </c>
      <c r="M103" s="8">
        <f>IF(L103&gt;=설정!$B$42,"●","")</f>
        <v/>
      </c>
      <c r="N103" s="17">
        <f>IF(M103="●",L103,0)</f>
        <v/>
      </c>
      <c r="O103" s="17">
        <f>IF(N103&gt;0,N103/설정!$B$44,0)</f>
        <v/>
      </c>
    </row>
    <row r="104">
      <c r="A104" s="15">
        <f>계산과정!A104</f>
        <v/>
      </c>
      <c r="B104" s="11">
        <f>계산과정!V104</f>
        <v/>
      </c>
      <c r="C104" s="12">
        <f>계산과정!W104</f>
        <v/>
      </c>
      <c r="D104" s="18">
        <f>계산과정!U104</f>
        <v/>
      </c>
      <c r="E104" s="18">
        <f>D104*C104</f>
        <v/>
      </c>
      <c r="F104" s="17">
        <f>원데이터!N104</f>
        <v/>
      </c>
      <c r="G104" s="17">
        <f>L103</f>
        <v/>
      </c>
      <c r="H104" s="17">
        <f>MAX(F104-G104, 0)</f>
        <v/>
      </c>
      <c r="I104" s="17">
        <f>MAX(G104-F104, 0)</f>
        <v/>
      </c>
      <c r="J104" s="18">
        <f>IF(I104&lt;=설정!$B$42, 1, (설정!$B$41-I104)/(설정!$B$41-설정!$B$42))</f>
        <v/>
      </c>
      <c r="K104" s="18">
        <f>J104*E104</f>
        <v/>
      </c>
      <c r="L104" s="17">
        <f>MIN(I104+K104, 설정!$B$41)</f>
        <v/>
      </c>
      <c r="M104" s="8">
        <f>IF(L104&gt;=설정!$B$42,"●","")</f>
        <v/>
      </c>
      <c r="N104" s="17">
        <f>IF(M104="●",L104,0)</f>
        <v/>
      </c>
      <c r="O104" s="17">
        <f>IF(N104&gt;0,N104/설정!$B$44,0)</f>
        <v/>
      </c>
    </row>
    <row r="105">
      <c r="A105" s="15">
        <f>계산과정!A105</f>
        <v/>
      </c>
      <c r="B105" s="11">
        <f>계산과정!V105</f>
        <v/>
      </c>
      <c r="C105" s="12">
        <f>계산과정!W105</f>
        <v/>
      </c>
      <c r="D105" s="18">
        <f>계산과정!U105</f>
        <v/>
      </c>
      <c r="E105" s="18">
        <f>D105*C105</f>
        <v/>
      </c>
      <c r="F105" s="17">
        <f>원데이터!N105</f>
        <v/>
      </c>
      <c r="G105" s="17">
        <f>L104</f>
        <v/>
      </c>
      <c r="H105" s="17">
        <f>MAX(F105-G105, 0)</f>
        <v/>
      </c>
      <c r="I105" s="17">
        <f>MAX(G105-F105, 0)</f>
        <v/>
      </c>
      <c r="J105" s="18">
        <f>IF(I105&lt;=설정!$B$42, 1, (설정!$B$41-I105)/(설정!$B$41-설정!$B$42))</f>
        <v/>
      </c>
      <c r="K105" s="18">
        <f>J105*E105</f>
        <v/>
      </c>
      <c r="L105" s="17">
        <f>MIN(I105+K105, 설정!$B$41)</f>
        <v/>
      </c>
      <c r="M105" s="8">
        <f>IF(L105&gt;=설정!$B$42,"●","")</f>
        <v/>
      </c>
      <c r="N105" s="17">
        <f>IF(M105="●",L105,0)</f>
        <v/>
      </c>
      <c r="O105" s="17">
        <f>IF(N105&gt;0,N105/설정!$B$44,0)</f>
        <v/>
      </c>
    </row>
    <row r="106">
      <c r="A106" s="15">
        <f>계산과정!A106</f>
        <v/>
      </c>
      <c r="B106" s="11">
        <f>계산과정!V106</f>
        <v/>
      </c>
      <c r="C106" s="12">
        <f>계산과정!W106</f>
        <v/>
      </c>
      <c r="D106" s="18">
        <f>계산과정!U106</f>
        <v/>
      </c>
      <c r="E106" s="18">
        <f>D106*C106</f>
        <v/>
      </c>
      <c r="F106" s="17">
        <f>원데이터!N106</f>
        <v/>
      </c>
      <c r="G106" s="17">
        <f>L105</f>
        <v/>
      </c>
      <c r="H106" s="17">
        <f>MAX(F106-G106, 0)</f>
        <v/>
      </c>
      <c r="I106" s="17">
        <f>MAX(G106-F106, 0)</f>
        <v/>
      </c>
      <c r="J106" s="18">
        <f>IF(I106&lt;=설정!$B$42, 1, (설정!$B$41-I106)/(설정!$B$41-설정!$B$42))</f>
        <v/>
      </c>
      <c r="K106" s="18">
        <f>J106*E106</f>
        <v/>
      </c>
      <c r="L106" s="17">
        <f>MIN(I106+K106, 설정!$B$41)</f>
        <v/>
      </c>
      <c r="M106" s="8">
        <f>IF(L106&gt;=설정!$B$42,"●","")</f>
        <v/>
      </c>
      <c r="N106" s="17">
        <f>IF(M106="●",L106,0)</f>
        <v/>
      </c>
      <c r="O106" s="17">
        <f>IF(N106&gt;0,N106/설정!$B$44,0)</f>
        <v/>
      </c>
    </row>
    <row r="107">
      <c r="A107" s="15">
        <f>계산과정!A107</f>
        <v/>
      </c>
      <c r="B107" s="11">
        <f>계산과정!V107</f>
        <v/>
      </c>
      <c r="C107" s="12">
        <f>계산과정!W107</f>
        <v/>
      </c>
      <c r="D107" s="18">
        <f>계산과정!U107</f>
        <v/>
      </c>
      <c r="E107" s="18">
        <f>D107*C107</f>
        <v/>
      </c>
      <c r="F107" s="17">
        <f>원데이터!N107</f>
        <v/>
      </c>
      <c r="G107" s="17">
        <f>L106</f>
        <v/>
      </c>
      <c r="H107" s="17">
        <f>MAX(F107-G107, 0)</f>
        <v/>
      </c>
      <c r="I107" s="17">
        <f>MAX(G107-F107, 0)</f>
        <v/>
      </c>
      <c r="J107" s="18">
        <f>IF(I107&lt;=설정!$B$42, 1, (설정!$B$41-I107)/(설정!$B$41-설정!$B$42))</f>
        <v/>
      </c>
      <c r="K107" s="18">
        <f>J107*E107</f>
        <v/>
      </c>
      <c r="L107" s="17">
        <f>MIN(I107+K107, 설정!$B$41)</f>
        <v/>
      </c>
      <c r="M107" s="8">
        <f>IF(L107&gt;=설정!$B$42,"●","")</f>
        <v/>
      </c>
      <c r="N107" s="17">
        <f>IF(M107="●",L107,0)</f>
        <v/>
      </c>
      <c r="O107" s="17">
        <f>IF(N107&gt;0,N107/설정!$B$44,0)</f>
        <v/>
      </c>
    </row>
    <row r="108">
      <c r="A108" s="15">
        <f>계산과정!A108</f>
        <v/>
      </c>
      <c r="B108" s="11">
        <f>계산과정!V108</f>
        <v/>
      </c>
      <c r="C108" s="12">
        <f>계산과정!W108</f>
        <v/>
      </c>
      <c r="D108" s="18">
        <f>계산과정!U108</f>
        <v/>
      </c>
      <c r="E108" s="18">
        <f>D108*C108</f>
        <v/>
      </c>
      <c r="F108" s="17">
        <f>원데이터!N108</f>
        <v/>
      </c>
      <c r="G108" s="17">
        <f>L107</f>
        <v/>
      </c>
      <c r="H108" s="17">
        <f>MAX(F108-G108, 0)</f>
        <v/>
      </c>
      <c r="I108" s="17">
        <f>MAX(G108-F108, 0)</f>
        <v/>
      </c>
      <c r="J108" s="18">
        <f>IF(I108&lt;=설정!$B$42, 1, (설정!$B$41-I108)/(설정!$B$41-설정!$B$42))</f>
        <v/>
      </c>
      <c r="K108" s="18">
        <f>J108*E108</f>
        <v/>
      </c>
      <c r="L108" s="17">
        <f>MIN(I108+K108, 설정!$B$41)</f>
        <v/>
      </c>
      <c r="M108" s="8">
        <f>IF(L108&gt;=설정!$B$42,"●","")</f>
        <v/>
      </c>
      <c r="N108" s="17">
        <f>IF(M108="●",L108,0)</f>
        <v/>
      </c>
      <c r="O108" s="17">
        <f>IF(N108&gt;0,N108/설정!$B$44,0)</f>
        <v/>
      </c>
    </row>
    <row r="109">
      <c r="A109" s="15">
        <f>계산과정!A109</f>
        <v/>
      </c>
      <c r="B109" s="11">
        <f>계산과정!V109</f>
        <v/>
      </c>
      <c r="C109" s="12">
        <f>계산과정!W109</f>
        <v/>
      </c>
      <c r="D109" s="18">
        <f>계산과정!U109</f>
        <v/>
      </c>
      <c r="E109" s="18">
        <f>D109*C109</f>
        <v/>
      </c>
      <c r="F109" s="17">
        <f>원데이터!N109</f>
        <v/>
      </c>
      <c r="G109" s="17">
        <f>L108</f>
        <v/>
      </c>
      <c r="H109" s="17">
        <f>MAX(F109-G109, 0)</f>
        <v/>
      </c>
      <c r="I109" s="17">
        <f>MAX(G109-F109, 0)</f>
        <v/>
      </c>
      <c r="J109" s="18">
        <f>IF(I109&lt;=설정!$B$42, 1, (설정!$B$41-I109)/(설정!$B$41-설정!$B$42))</f>
        <v/>
      </c>
      <c r="K109" s="18">
        <f>J109*E109</f>
        <v/>
      </c>
      <c r="L109" s="17">
        <f>MIN(I109+K109, 설정!$B$41)</f>
        <v/>
      </c>
      <c r="M109" s="8">
        <f>IF(L109&gt;=설정!$B$42,"●","")</f>
        <v/>
      </c>
      <c r="N109" s="17">
        <f>IF(M109="●",L109,0)</f>
        <v/>
      </c>
      <c r="O109" s="17">
        <f>IF(N109&gt;0,N109/설정!$B$44,0)</f>
        <v/>
      </c>
    </row>
    <row r="110">
      <c r="A110" s="15">
        <f>계산과정!A110</f>
        <v/>
      </c>
      <c r="B110" s="11">
        <f>계산과정!V110</f>
        <v/>
      </c>
      <c r="C110" s="12">
        <f>계산과정!W110</f>
        <v/>
      </c>
      <c r="D110" s="18">
        <f>계산과정!U110</f>
        <v/>
      </c>
      <c r="E110" s="18">
        <f>D110*C110</f>
        <v/>
      </c>
      <c r="F110" s="17">
        <f>원데이터!N110</f>
        <v/>
      </c>
      <c r="G110" s="17">
        <f>L109</f>
        <v/>
      </c>
      <c r="H110" s="17">
        <f>MAX(F110-G110, 0)</f>
        <v/>
      </c>
      <c r="I110" s="17">
        <f>MAX(G110-F110, 0)</f>
        <v/>
      </c>
      <c r="J110" s="18">
        <f>IF(I110&lt;=설정!$B$42, 1, (설정!$B$41-I110)/(설정!$B$41-설정!$B$42))</f>
        <v/>
      </c>
      <c r="K110" s="18">
        <f>J110*E110</f>
        <v/>
      </c>
      <c r="L110" s="17">
        <f>MIN(I110+K110, 설정!$B$41)</f>
        <v/>
      </c>
      <c r="M110" s="8">
        <f>IF(L110&gt;=설정!$B$42,"●","")</f>
        <v/>
      </c>
      <c r="N110" s="17">
        <f>IF(M110="●",L110,0)</f>
        <v/>
      </c>
      <c r="O110" s="17">
        <f>IF(N110&gt;0,N110/설정!$B$44,0)</f>
        <v/>
      </c>
    </row>
    <row r="111">
      <c r="A111" s="15">
        <f>계산과정!A111</f>
        <v/>
      </c>
      <c r="B111" s="11">
        <f>계산과정!V111</f>
        <v/>
      </c>
      <c r="C111" s="12">
        <f>계산과정!W111</f>
        <v/>
      </c>
      <c r="D111" s="18">
        <f>계산과정!U111</f>
        <v/>
      </c>
      <c r="E111" s="18">
        <f>D111*C111</f>
        <v/>
      </c>
      <c r="F111" s="17">
        <f>원데이터!N111</f>
        <v/>
      </c>
      <c r="G111" s="17">
        <f>L110</f>
        <v/>
      </c>
      <c r="H111" s="17">
        <f>MAX(F111-G111, 0)</f>
        <v/>
      </c>
      <c r="I111" s="17">
        <f>MAX(G111-F111, 0)</f>
        <v/>
      </c>
      <c r="J111" s="18">
        <f>IF(I111&lt;=설정!$B$42, 1, (설정!$B$41-I111)/(설정!$B$41-설정!$B$42))</f>
        <v/>
      </c>
      <c r="K111" s="18">
        <f>J111*E111</f>
        <v/>
      </c>
      <c r="L111" s="17">
        <f>MIN(I111+K111, 설정!$B$41)</f>
        <v/>
      </c>
      <c r="M111" s="8">
        <f>IF(L111&gt;=설정!$B$42,"●","")</f>
        <v/>
      </c>
      <c r="N111" s="17">
        <f>IF(M111="●",L111,0)</f>
        <v/>
      </c>
      <c r="O111" s="17">
        <f>IF(N111&gt;0,N111/설정!$B$44,0)</f>
        <v/>
      </c>
    </row>
    <row r="112">
      <c r="A112" s="15">
        <f>계산과정!A112</f>
        <v/>
      </c>
      <c r="B112" s="11">
        <f>계산과정!V112</f>
        <v/>
      </c>
      <c r="C112" s="12">
        <f>계산과정!W112</f>
        <v/>
      </c>
      <c r="D112" s="18">
        <f>계산과정!U112</f>
        <v/>
      </c>
      <c r="E112" s="18">
        <f>D112*C112</f>
        <v/>
      </c>
      <c r="F112" s="17">
        <f>원데이터!N112</f>
        <v/>
      </c>
      <c r="G112" s="17">
        <f>L111</f>
        <v/>
      </c>
      <c r="H112" s="17">
        <f>MAX(F112-G112, 0)</f>
        <v/>
      </c>
      <c r="I112" s="17">
        <f>MAX(G112-F112, 0)</f>
        <v/>
      </c>
      <c r="J112" s="18">
        <f>IF(I112&lt;=설정!$B$42, 1, (설정!$B$41-I112)/(설정!$B$41-설정!$B$42))</f>
        <v/>
      </c>
      <c r="K112" s="18">
        <f>J112*E112</f>
        <v/>
      </c>
      <c r="L112" s="17">
        <f>MIN(I112+K112, 설정!$B$41)</f>
        <v/>
      </c>
      <c r="M112" s="8">
        <f>IF(L112&gt;=설정!$B$42,"●","")</f>
        <v/>
      </c>
      <c r="N112" s="17">
        <f>IF(M112="●",L112,0)</f>
        <v/>
      </c>
      <c r="O112" s="17">
        <f>IF(N112&gt;0,N112/설정!$B$44,0)</f>
        <v/>
      </c>
    </row>
    <row r="113">
      <c r="A113" s="15">
        <f>계산과정!A113</f>
        <v/>
      </c>
      <c r="B113" s="11">
        <f>계산과정!V113</f>
        <v/>
      </c>
      <c r="C113" s="12">
        <f>계산과정!W113</f>
        <v/>
      </c>
      <c r="D113" s="18">
        <f>계산과정!U113</f>
        <v/>
      </c>
      <c r="E113" s="18">
        <f>D113*C113</f>
        <v/>
      </c>
      <c r="F113" s="17">
        <f>원데이터!N113</f>
        <v/>
      </c>
      <c r="G113" s="17">
        <f>L112</f>
        <v/>
      </c>
      <c r="H113" s="17">
        <f>MAX(F113-G113, 0)</f>
        <v/>
      </c>
      <c r="I113" s="17">
        <f>MAX(G113-F113, 0)</f>
        <v/>
      </c>
      <c r="J113" s="18">
        <f>IF(I113&lt;=설정!$B$42, 1, (설정!$B$41-I113)/(설정!$B$41-설정!$B$42))</f>
        <v/>
      </c>
      <c r="K113" s="18">
        <f>J113*E113</f>
        <v/>
      </c>
      <c r="L113" s="17">
        <f>MIN(I113+K113, 설정!$B$41)</f>
        <v/>
      </c>
      <c r="M113" s="8">
        <f>IF(L113&gt;=설정!$B$42,"●","")</f>
        <v/>
      </c>
      <c r="N113" s="17">
        <f>IF(M113="●",L113,0)</f>
        <v/>
      </c>
      <c r="O113" s="17">
        <f>IF(N113&gt;0,N113/설정!$B$44,0)</f>
        <v/>
      </c>
    </row>
    <row r="114">
      <c r="A114" s="15">
        <f>계산과정!A114</f>
        <v/>
      </c>
      <c r="B114" s="11">
        <f>계산과정!V114</f>
        <v/>
      </c>
      <c r="C114" s="12">
        <f>계산과정!W114</f>
        <v/>
      </c>
      <c r="D114" s="18">
        <f>계산과정!U114</f>
        <v/>
      </c>
      <c r="E114" s="18">
        <f>D114*C114</f>
        <v/>
      </c>
      <c r="F114" s="17">
        <f>원데이터!N114</f>
        <v/>
      </c>
      <c r="G114" s="17">
        <f>L113</f>
        <v/>
      </c>
      <c r="H114" s="17">
        <f>MAX(F114-G114, 0)</f>
        <v/>
      </c>
      <c r="I114" s="17">
        <f>MAX(G114-F114, 0)</f>
        <v/>
      </c>
      <c r="J114" s="18">
        <f>IF(I114&lt;=설정!$B$42, 1, (설정!$B$41-I114)/(설정!$B$41-설정!$B$42))</f>
        <v/>
      </c>
      <c r="K114" s="18">
        <f>J114*E114</f>
        <v/>
      </c>
      <c r="L114" s="17">
        <f>MIN(I114+K114, 설정!$B$41)</f>
        <v/>
      </c>
      <c r="M114" s="8">
        <f>IF(L114&gt;=설정!$B$42,"●","")</f>
        <v/>
      </c>
      <c r="N114" s="17">
        <f>IF(M114="●",L114,0)</f>
        <v/>
      </c>
      <c r="O114" s="17">
        <f>IF(N114&gt;0,N114/설정!$B$44,0)</f>
        <v/>
      </c>
    </row>
    <row r="115">
      <c r="A115" s="15">
        <f>계산과정!A115</f>
        <v/>
      </c>
      <c r="B115" s="11">
        <f>계산과정!V115</f>
        <v/>
      </c>
      <c r="C115" s="12">
        <f>계산과정!W115</f>
        <v/>
      </c>
      <c r="D115" s="18">
        <f>계산과정!U115</f>
        <v/>
      </c>
      <c r="E115" s="18">
        <f>D115*C115</f>
        <v/>
      </c>
      <c r="F115" s="17">
        <f>원데이터!N115</f>
        <v/>
      </c>
      <c r="G115" s="17">
        <f>L114</f>
        <v/>
      </c>
      <c r="H115" s="17">
        <f>MAX(F115-G115, 0)</f>
        <v/>
      </c>
      <c r="I115" s="17">
        <f>MAX(G115-F115, 0)</f>
        <v/>
      </c>
      <c r="J115" s="18">
        <f>IF(I115&lt;=설정!$B$42, 1, (설정!$B$41-I115)/(설정!$B$41-설정!$B$42))</f>
        <v/>
      </c>
      <c r="K115" s="18">
        <f>J115*E115</f>
        <v/>
      </c>
      <c r="L115" s="17">
        <f>MIN(I115+K115, 설정!$B$41)</f>
        <v/>
      </c>
      <c r="M115" s="8">
        <f>IF(L115&gt;=설정!$B$42,"●","")</f>
        <v/>
      </c>
      <c r="N115" s="17">
        <f>IF(M115="●",L115,0)</f>
        <v/>
      </c>
      <c r="O115" s="17">
        <f>IF(N115&gt;0,N115/설정!$B$44,0)</f>
        <v/>
      </c>
    </row>
    <row r="116">
      <c r="A116" s="15">
        <f>계산과정!A116</f>
        <v/>
      </c>
      <c r="B116" s="11">
        <f>계산과정!V116</f>
        <v/>
      </c>
      <c r="C116" s="12">
        <f>계산과정!W116</f>
        <v/>
      </c>
      <c r="D116" s="18">
        <f>계산과정!U116</f>
        <v/>
      </c>
      <c r="E116" s="18">
        <f>D116*C116</f>
        <v/>
      </c>
      <c r="F116" s="17">
        <f>원데이터!N116</f>
        <v/>
      </c>
      <c r="G116" s="17">
        <f>L115</f>
        <v/>
      </c>
      <c r="H116" s="17">
        <f>MAX(F116-G116, 0)</f>
        <v/>
      </c>
      <c r="I116" s="17">
        <f>MAX(G116-F116, 0)</f>
        <v/>
      </c>
      <c r="J116" s="18">
        <f>IF(I116&lt;=설정!$B$42, 1, (설정!$B$41-I116)/(설정!$B$41-설정!$B$42))</f>
        <v/>
      </c>
      <c r="K116" s="18">
        <f>J116*E116</f>
        <v/>
      </c>
      <c r="L116" s="17">
        <f>MIN(I116+K116, 설정!$B$41)</f>
        <v/>
      </c>
      <c r="M116" s="8">
        <f>IF(L116&gt;=설정!$B$42,"●","")</f>
        <v/>
      </c>
      <c r="N116" s="17">
        <f>IF(M116="●",L116,0)</f>
        <v/>
      </c>
      <c r="O116" s="17">
        <f>IF(N116&gt;0,N116/설정!$B$44,0)</f>
        <v/>
      </c>
    </row>
    <row r="117">
      <c r="A117" s="15">
        <f>계산과정!A117</f>
        <v/>
      </c>
      <c r="B117" s="11">
        <f>계산과정!V117</f>
        <v/>
      </c>
      <c r="C117" s="12">
        <f>계산과정!W117</f>
        <v/>
      </c>
      <c r="D117" s="18">
        <f>계산과정!U117</f>
        <v/>
      </c>
      <c r="E117" s="18">
        <f>D117*C117</f>
        <v/>
      </c>
      <c r="F117" s="17">
        <f>원데이터!N117</f>
        <v/>
      </c>
      <c r="G117" s="17">
        <f>L116</f>
        <v/>
      </c>
      <c r="H117" s="17">
        <f>MAX(F117-G117, 0)</f>
        <v/>
      </c>
      <c r="I117" s="17">
        <f>MAX(G117-F117, 0)</f>
        <v/>
      </c>
      <c r="J117" s="18">
        <f>IF(I117&lt;=설정!$B$42, 1, (설정!$B$41-I117)/(설정!$B$41-설정!$B$42))</f>
        <v/>
      </c>
      <c r="K117" s="18">
        <f>J117*E117</f>
        <v/>
      </c>
      <c r="L117" s="17">
        <f>MIN(I117+K117, 설정!$B$41)</f>
        <v/>
      </c>
      <c r="M117" s="8">
        <f>IF(L117&gt;=설정!$B$42,"●","")</f>
        <v/>
      </c>
      <c r="N117" s="17">
        <f>IF(M117="●",L117,0)</f>
        <v/>
      </c>
      <c r="O117" s="17">
        <f>IF(N117&gt;0,N117/설정!$B$44,0)</f>
        <v/>
      </c>
    </row>
    <row r="118">
      <c r="A118" s="15">
        <f>계산과정!A118</f>
        <v/>
      </c>
      <c r="B118" s="11">
        <f>계산과정!V118</f>
        <v/>
      </c>
      <c r="C118" s="12">
        <f>계산과정!W118</f>
        <v/>
      </c>
      <c r="D118" s="18">
        <f>계산과정!U118</f>
        <v/>
      </c>
      <c r="E118" s="18">
        <f>D118*C118</f>
        <v/>
      </c>
      <c r="F118" s="17">
        <f>원데이터!N118</f>
        <v/>
      </c>
      <c r="G118" s="17">
        <f>L117</f>
        <v/>
      </c>
      <c r="H118" s="17">
        <f>MAX(F118-G118, 0)</f>
        <v/>
      </c>
      <c r="I118" s="17">
        <f>MAX(G118-F118, 0)</f>
        <v/>
      </c>
      <c r="J118" s="18">
        <f>IF(I118&lt;=설정!$B$42, 1, (설정!$B$41-I118)/(설정!$B$41-설정!$B$42))</f>
        <v/>
      </c>
      <c r="K118" s="18">
        <f>J118*E118</f>
        <v/>
      </c>
      <c r="L118" s="17">
        <f>MIN(I118+K118, 설정!$B$41)</f>
        <v/>
      </c>
      <c r="M118" s="8">
        <f>IF(L118&gt;=설정!$B$42,"●","")</f>
        <v/>
      </c>
      <c r="N118" s="17">
        <f>IF(M118="●",L118,0)</f>
        <v/>
      </c>
      <c r="O118" s="17">
        <f>IF(N118&gt;0,N118/설정!$B$44,0)</f>
        <v/>
      </c>
    </row>
    <row r="119">
      <c r="A119" s="15">
        <f>계산과정!A119</f>
        <v/>
      </c>
      <c r="B119" s="11">
        <f>계산과정!V119</f>
        <v/>
      </c>
      <c r="C119" s="12">
        <f>계산과정!W119</f>
        <v/>
      </c>
      <c r="D119" s="18">
        <f>계산과정!U119</f>
        <v/>
      </c>
      <c r="E119" s="18">
        <f>D119*C119</f>
        <v/>
      </c>
      <c r="F119" s="17">
        <f>원데이터!N119</f>
        <v/>
      </c>
      <c r="G119" s="17">
        <f>L118</f>
        <v/>
      </c>
      <c r="H119" s="17">
        <f>MAX(F119-G119, 0)</f>
        <v/>
      </c>
      <c r="I119" s="17">
        <f>MAX(G119-F119, 0)</f>
        <v/>
      </c>
      <c r="J119" s="18">
        <f>IF(I119&lt;=설정!$B$42, 1, (설정!$B$41-I119)/(설정!$B$41-설정!$B$42))</f>
        <v/>
      </c>
      <c r="K119" s="18">
        <f>J119*E119</f>
        <v/>
      </c>
      <c r="L119" s="17">
        <f>MIN(I119+K119, 설정!$B$41)</f>
        <v/>
      </c>
      <c r="M119" s="8">
        <f>IF(L119&gt;=설정!$B$42,"●","")</f>
        <v/>
      </c>
      <c r="N119" s="17">
        <f>IF(M119="●",L119,0)</f>
        <v/>
      </c>
      <c r="O119" s="17">
        <f>IF(N119&gt;0,N119/설정!$B$44,0)</f>
        <v/>
      </c>
    </row>
    <row r="120">
      <c r="A120" s="15">
        <f>계산과정!A120</f>
        <v/>
      </c>
      <c r="B120" s="11">
        <f>계산과정!V120</f>
        <v/>
      </c>
      <c r="C120" s="12">
        <f>계산과정!W120</f>
        <v/>
      </c>
      <c r="D120" s="18">
        <f>계산과정!U120</f>
        <v/>
      </c>
      <c r="E120" s="18">
        <f>D120*C120</f>
        <v/>
      </c>
      <c r="F120" s="17">
        <f>원데이터!N120</f>
        <v/>
      </c>
      <c r="G120" s="17">
        <f>L119</f>
        <v/>
      </c>
      <c r="H120" s="17">
        <f>MAX(F120-G120, 0)</f>
        <v/>
      </c>
      <c r="I120" s="17">
        <f>MAX(G120-F120, 0)</f>
        <v/>
      </c>
      <c r="J120" s="18">
        <f>IF(I120&lt;=설정!$B$42, 1, (설정!$B$41-I120)/(설정!$B$41-설정!$B$42))</f>
        <v/>
      </c>
      <c r="K120" s="18">
        <f>J120*E120</f>
        <v/>
      </c>
      <c r="L120" s="17">
        <f>MIN(I120+K120, 설정!$B$41)</f>
        <v/>
      </c>
      <c r="M120" s="8">
        <f>IF(L120&gt;=설정!$B$42,"●","")</f>
        <v/>
      </c>
      <c r="N120" s="17">
        <f>IF(M120="●",L120,0)</f>
        <v/>
      </c>
      <c r="O120" s="17">
        <f>IF(N120&gt;0,N120/설정!$B$44,0)</f>
        <v/>
      </c>
    </row>
    <row r="121">
      <c r="A121" s="15">
        <f>계산과정!A121</f>
        <v/>
      </c>
      <c r="B121" s="11">
        <f>계산과정!V121</f>
        <v/>
      </c>
      <c r="C121" s="12">
        <f>계산과정!W121</f>
        <v/>
      </c>
      <c r="D121" s="18">
        <f>계산과정!U121</f>
        <v/>
      </c>
      <c r="E121" s="18">
        <f>D121*C121</f>
        <v/>
      </c>
      <c r="F121" s="17">
        <f>원데이터!N121</f>
        <v/>
      </c>
      <c r="G121" s="17">
        <f>L120</f>
        <v/>
      </c>
      <c r="H121" s="17">
        <f>MAX(F121-G121, 0)</f>
        <v/>
      </c>
      <c r="I121" s="17">
        <f>MAX(G121-F121, 0)</f>
        <v/>
      </c>
      <c r="J121" s="18">
        <f>IF(I121&lt;=설정!$B$42, 1, (설정!$B$41-I121)/(설정!$B$41-설정!$B$42))</f>
        <v/>
      </c>
      <c r="K121" s="18">
        <f>J121*E121</f>
        <v/>
      </c>
      <c r="L121" s="17">
        <f>MIN(I121+K121, 설정!$B$41)</f>
        <v/>
      </c>
      <c r="M121" s="8">
        <f>IF(L121&gt;=설정!$B$42,"●","")</f>
        <v/>
      </c>
      <c r="N121" s="17">
        <f>IF(M121="●",L121,0)</f>
        <v/>
      </c>
      <c r="O121" s="17">
        <f>IF(N121&gt;0,N121/설정!$B$44,0)</f>
        <v/>
      </c>
    </row>
    <row r="122">
      <c r="A122" s="15">
        <f>계산과정!A122</f>
        <v/>
      </c>
      <c r="B122" s="11">
        <f>계산과정!V122</f>
        <v/>
      </c>
      <c r="C122" s="12">
        <f>계산과정!W122</f>
        <v/>
      </c>
      <c r="D122" s="18">
        <f>계산과정!U122</f>
        <v/>
      </c>
      <c r="E122" s="18">
        <f>D122*C122</f>
        <v/>
      </c>
      <c r="F122" s="17">
        <f>원데이터!N122</f>
        <v/>
      </c>
      <c r="G122" s="17">
        <f>L121</f>
        <v/>
      </c>
      <c r="H122" s="17">
        <f>MAX(F122-G122, 0)</f>
        <v/>
      </c>
      <c r="I122" s="17">
        <f>MAX(G122-F122, 0)</f>
        <v/>
      </c>
      <c r="J122" s="18">
        <f>IF(I122&lt;=설정!$B$42, 1, (설정!$B$41-I122)/(설정!$B$41-설정!$B$42))</f>
        <v/>
      </c>
      <c r="K122" s="18">
        <f>J122*E122</f>
        <v/>
      </c>
      <c r="L122" s="17">
        <f>MIN(I122+K122, 설정!$B$41)</f>
        <v/>
      </c>
      <c r="M122" s="8">
        <f>IF(L122&gt;=설정!$B$42,"●","")</f>
        <v/>
      </c>
      <c r="N122" s="17">
        <f>IF(M122="●",L122,0)</f>
        <v/>
      </c>
      <c r="O122" s="17">
        <f>IF(N122&gt;0,N122/설정!$B$44,0)</f>
        <v/>
      </c>
    </row>
    <row r="123">
      <c r="A123" s="15">
        <f>계산과정!A123</f>
        <v/>
      </c>
      <c r="B123" s="11">
        <f>계산과정!V123</f>
        <v/>
      </c>
      <c r="C123" s="12">
        <f>계산과정!W123</f>
        <v/>
      </c>
      <c r="D123" s="18">
        <f>계산과정!U123</f>
        <v/>
      </c>
      <c r="E123" s="18">
        <f>D123*C123</f>
        <v/>
      </c>
      <c r="F123" s="17">
        <f>원데이터!N123</f>
        <v/>
      </c>
      <c r="G123" s="17">
        <f>L122</f>
        <v/>
      </c>
      <c r="H123" s="17">
        <f>MAX(F123-G123, 0)</f>
        <v/>
      </c>
      <c r="I123" s="17">
        <f>MAX(G123-F123, 0)</f>
        <v/>
      </c>
      <c r="J123" s="18">
        <f>IF(I123&lt;=설정!$B$42, 1, (설정!$B$41-I123)/(설정!$B$41-설정!$B$42))</f>
        <v/>
      </c>
      <c r="K123" s="18">
        <f>J123*E123</f>
        <v/>
      </c>
      <c r="L123" s="17">
        <f>MIN(I123+K123, 설정!$B$41)</f>
        <v/>
      </c>
      <c r="M123" s="8">
        <f>IF(L123&gt;=설정!$B$42,"●","")</f>
        <v/>
      </c>
      <c r="N123" s="17">
        <f>IF(M123="●",L123,0)</f>
        <v/>
      </c>
      <c r="O123" s="17">
        <f>IF(N123&gt;0,N123/설정!$B$44,0)</f>
        <v/>
      </c>
    </row>
    <row r="124">
      <c r="A124" s="15">
        <f>계산과정!A124</f>
        <v/>
      </c>
      <c r="B124" s="11">
        <f>계산과정!V124</f>
        <v/>
      </c>
      <c r="C124" s="12">
        <f>계산과정!W124</f>
        <v/>
      </c>
      <c r="D124" s="18">
        <f>계산과정!U124</f>
        <v/>
      </c>
      <c r="E124" s="18">
        <f>D124*C124</f>
        <v/>
      </c>
      <c r="F124" s="17">
        <f>원데이터!N124</f>
        <v/>
      </c>
      <c r="G124" s="17">
        <f>L123</f>
        <v/>
      </c>
      <c r="H124" s="17">
        <f>MAX(F124-G124, 0)</f>
        <v/>
      </c>
      <c r="I124" s="17">
        <f>MAX(G124-F124, 0)</f>
        <v/>
      </c>
      <c r="J124" s="18">
        <f>IF(I124&lt;=설정!$B$42, 1, (설정!$B$41-I124)/(설정!$B$41-설정!$B$42))</f>
        <v/>
      </c>
      <c r="K124" s="18">
        <f>J124*E124</f>
        <v/>
      </c>
      <c r="L124" s="17">
        <f>MIN(I124+K124, 설정!$B$41)</f>
        <v/>
      </c>
      <c r="M124" s="8">
        <f>IF(L124&gt;=설정!$B$42,"●","")</f>
        <v/>
      </c>
      <c r="N124" s="17">
        <f>IF(M124="●",L124,0)</f>
        <v/>
      </c>
      <c r="O124" s="17">
        <f>IF(N124&gt;0,N124/설정!$B$44,0)</f>
        <v/>
      </c>
    </row>
    <row r="125">
      <c r="A125" s="15">
        <f>계산과정!A125</f>
        <v/>
      </c>
      <c r="B125" s="11">
        <f>계산과정!V125</f>
        <v/>
      </c>
      <c r="C125" s="12">
        <f>계산과정!W125</f>
        <v/>
      </c>
      <c r="D125" s="18">
        <f>계산과정!U125</f>
        <v/>
      </c>
      <c r="E125" s="18">
        <f>D125*C125</f>
        <v/>
      </c>
      <c r="F125" s="17">
        <f>원데이터!N125</f>
        <v/>
      </c>
      <c r="G125" s="17">
        <f>L124</f>
        <v/>
      </c>
      <c r="H125" s="17">
        <f>MAX(F125-G125, 0)</f>
        <v/>
      </c>
      <c r="I125" s="17">
        <f>MAX(G125-F125, 0)</f>
        <v/>
      </c>
      <c r="J125" s="18">
        <f>IF(I125&lt;=설정!$B$42, 1, (설정!$B$41-I125)/(설정!$B$41-설정!$B$42))</f>
        <v/>
      </c>
      <c r="K125" s="18">
        <f>J125*E125</f>
        <v/>
      </c>
      <c r="L125" s="17">
        <f>MIN(I125+K125, 설정!$B$41)</f>
        <v/>
      </c>
      <c r="M125" s="8">
        <f>IF(L125&gt;=설정!$B$42,"●","")</f>
        <v/>
      </c>
      <c r="N125" s="17">
        <f>IF(M125="●",L125,0)</f>
        <v/>
      </c>
      <c r="O125" s="17">
        <f>IF(N125&gt;0,N125/설정!$B$44,0)</f>
        <v/>
      </c>
    </row>
    <row r="126">
      <c r="A126" s="15">
        <f>계산과정!A126</f>
        <v/>
      </c>
      <c r="B126" s="11">
        <f>계산과정!V126</f>
        <v/>
      </c>
      <c r="C126" s="12">
        <f>계산과정!W126</f>
        <v/>
      </c>
      <c r="D126" s="18">
        <f>계산과정!U126</f>
        <v/>
      </c>
      <c r="E126" s="18">
        <f>D126*C126</f>
        <v/>
      </c>
      <c r="F126" s="17">
        <f>원데이터!N126</f>
        <v/>
      </c>
      <c r="G126" s="17">
        <f>L125</f>
        <v/>
      </c>
      <c r="H126" s="17">
        <f>MAX(F126-G126, 0)</f>
        <v/>
      </c>
      <c r="I126" s="17">
        <f>MAX(G126-F126, 0)</f>
        <v/>
      </c>
      <c r="J126" s="18">
        <f>IF(I126&lt;=설정!$B$42, 1, (설정!$B$41-I126)/(설정!$B$41-설정!$B$42))</f>
        <v/>
      </c>
      <c r="K126" s="18">
        <f>J126*E126</f>
        <v/>
      </c>
      <c r="L126" s="17">
        <f>MIN(I126+K126, 설정!$B$41)</f>
        <v/>
      </c>
      <c r="M126" s="8">
        <f>IF(L126&gt;=설정!$B$42,"●","")</f>
        <v/>
      </c>
      <c r="N126" s="17">
        <f>IF(M126="●",L126,0)</f>
        <v/>
      </c>
      <c r="O126" s="17">
        <f>IF(N126&gt;0,N126/설정!$B$44,0)</f>
        <v/>
      </c>
    </row>
    <row r="127">
      <c r="A127" s="15">
        <f>계산과정!A127</f>
        <v/>
      </c>
      <c r="B127" s="11">
        <f>계산과정!V127</f>
        <v/>
      </c>
      <c r="C127" s="12">
        <f>계산과정!W127</f>
        <v/>
      </c>
      <c r="D127" s="18">
        <f>계산과정!U127</f>
        <v/>
      </c>
      <c r="E127" s="18">
        <f>D127*C127</f>
        <v/>
      </c>
      <c r="F127" s="17">
        <f>원데이터!N127</f>
        <v/>
      </c>
      <c r="G127" s="17">
        <f>L126</f>
        <v/>
      </c>
      <c r="H127" s="17">
        <f>MAX(F127-G127, 0)</f>
        <v/>
      </c>
      <c r="I127" s="17">
        <f>MAX(G127-F127, 0)</f>
        <v/>
      </c>
      <c r="J127" s="18">
        <f>IF(I127&lt;=설정!$B$42, 1, (설정!$B$41-I127)/(설정!$B$41-설정!$B$42))</f>
        <v/>
      </c>
      <c r="K127" s="18">
        <f>J127*E127</f>
        <v/>
      </c>
      <c r="L127" s="17">
        <f>MIN(I127+K127, 설정!$B$41)</f>
        <v/>
      </c>
      <c r="M127" s="8">
        <f>IF(L127&gt;=설정!$B$42,"●","")</f>
        <v/>
      </c>
      <c r="N127" s="17">
        <f>IF(M127="●",L127,0)</f>
        <v/>
      </c>
      <c r="O127" s="17">
        <f>IF(N127&gt;0,N127/설정!$B$44,0)</f>
        <v/>
      </c>
    </row>
    <row r="128">
      <c r="A128" s="15">
        <f>계산과정!A128</f>
        <v/>
      </c>
      <c r="B128" s="11">
        <f>계산과정!V128</f>
        <v/>
      </c>
      <c r="C128" s="12">
        <f>계산과정!W128</f>
        <v/>
      </c>
      <c r="D128" s="18">
        <f>계산과정!U128</f>
        <v/>
      </c>
      <c r="E128" s="18">
        <f>D128*C128</f>
        <v/>
      </c>
      <c r="F128" s="17">
        <f>원데이터!N128</f>
        <v/>
      </c>
      <c r="G128" s="17">
        <f>L127</f>
        <v/>
      </c>
      <c r="H128" s="17">
        <f>MAX(F128-G128, 0)</f>
        <v/>
      </c>
      <c r="I128" s="17">
        <f>MAX(G128-F128, 0)</f>
        <v/>
      </c>
      <c r="J128" s="18">
        <f>IF(I128&lt;=설정!$B$42, 1, (설정!$B$41-I128)/(설정!$B$41-설정!$B$42))</f>
        <v/>
      </c>
      <c r="K128" s="18">
        <f>J128*E128</f>
        <v/>
      </c>
      <c r="L128" s="17">
        <f>MIN(I128+K128, 설정!$B$41)</f>
        <v/>
      </c>
      <c r="M128" s="8">
        <f>IF(L128&gt;=설정!$B$42,"●","")</f>
        <v/>
      </c>
      <c r="N128" s="17">
        <f>IF(M128="●",L128,0)</f>
        <v/>
      </c>
      <c r="O128" s="17">
        <f>IF(N128&gt;0,N128/설정!$B$44,0)</f>
        <v/>
      </c>
    </row>
    <row r="129">
      <c r="A129" s="15">
        <f>계산과정!A129</f>
        <v/>
      </c>
      <c r="B129" s="11">
        <f>계산과정!V129</f>
        <v/>
      </c>
      <c r="C129" s="12">
        <f>계산과정!W129</f>
        <v/>
      </c>
      <c r="D129" s="18">
        <f>계산과정!U129</f>
        <v/>
      </c>
      <c r="E129" s="18">
        <f>D129*C129</f>
        <v/>
      </c>
      <c r="F129" s="17">
        <f>원데이터!N129</f>
        <v/>
      </c>
      <c r="G129" s="17">
        <f>L128</f>
        <v/>
      </c>
      <c r="H129" s="17">
        <f>MAX(F129-G129, 0)</f>
        <v/>
      </c>
      <c r="I129" s="17">
        <f>MAX(G129-F129, 0)</f>
        <v/>
      </c>
      <c r="J129" s="18">
        <f>IF(I129&lt;=설정!$B$42, 1, (설정!$B$41-I129)/(설정!$B$41-설정!$B$42))</f>
        <v/>
      </c>
      <c r="K129" s="18">
        <f>J129*E129</f>
        <v/>
      </c>
      <c r="L129" s="17">
        <f>MIN(I129+K129, 설정!$B$41)</f>
        <v/>
      </c>
      <c r="M129" s="8">
        <f>IF(L129&gt;=설정!$B$42,"●","")</f>
        <v/>
      </c>
      <c r="N129" s="17">
        <f>IF(M129="●",L129,0)</f>
        <v/>
      </c>
      <c r="O129" s="17">
        <f>IF(N129&gt;0,N129/설정!$B$44,0)</f>
        <v/>
      </c>
    </row>
    <row r="130">
      <c r="A130" s="15">
        <f>계산과정!A130</f>
        <v/>
      </c>
      <c r="B130" s="11">
        <f>계산과정!V130</f>
        <v/>
      </c>
      <c r="C130" s="12">
        <f>계산과정!W130</f>
        <v/>
      </c>
      <c r="D130" s="18">
        <f>계산과정!U130</f>
        <v/>
      </c>
      <c r="E130" s="18">
        <f>D130*C130</f>
        <v/>
      </c>
      <c r="F130" s="17">
        <f>원데이터!N130</f>
        <v/>
      </c>
      <c r="G130" s="17">
        <f>L129</f>
        <v/>
      </c>
      <c r="H130" s="17">
        <f>MAX(F130-G130, 0)</f>
        <v/>
      </c>
      <c r="I130" s="17">
        <f>MAX(G130-F130, 0)</f>
        <v/>
      </c>
      <c r="J130" s="18">
        <f>IF(I130&lt;=설정!$B$42, 1, (설정!$B$41-I130)/(설정!$B$41-설정!$B$42))</f>
        <v/>
      </c>
      <c r="K130" s="18">
        <f>J130*E130</f>
        <v/>
      </c>
      <c r="L130" s="17">
        <f>MIN(I130+K130, 설정!$B$41)</f>
        <v/>
      </c>
      <c r="M130" s="8">
        <f>IF(L130&gt;=설정!$B$42,"●","")</f>
        <v/>
      </c>
      <c r="N130" s="17">
        <f>IF(M130="●",L130,0)</f>
        <v/>
      </c>
      <c r="O130" s="17">
        <f>IF(N130&gt;0,N130/설정!$B$44,0)</f>
        <v/>
      </c>
    </row>
    <row r="131">
      <c r="A131" s="15">
        <f>계산과정!A131</f>
        <v/>
      </c>
      <c r="B131" s="11">
        <f>계산과정!V131</f>
        <v/>
      </c>
      <c r="C131" s="12">
        <f>계산과정!W131</f>
        <v/>
      </c>
      <c r="D131" s="18">
        <f>계산과정!U131</f>
        <v/>
      </c>
      <c r="E131" s="18">
        <f>D131*C131</f>
        <v/>
      </c>
      <c r="F131" s="17">
        <f>원데이터!N131</f>
        <v/>
      </c>
      <c r="G131" s="17">
        <f>L130</f>
        <v/>
      </c>
      <c r="H131" s="17">
        <f>MAX(F131-G131, 0)</f>
        <v/>
      </c>
      <c r="I131" s="17">
        <f>MAX(G131-F131, 0)</f>
        <v/>
      </c>
      <c r="J131" s="18">
        <f>IF(I131&lt;=설정!$B$42, 1, (설정!$B$41-I131)/(설정!$B$41-설정!$B$42))</f>
        <v/>
      </c>
      <c r="K131" s="18">
        <f>J131*E131</f>
        <v/>
      </c>
      <c r="L131" s="17">
        <f>MIN(I131+K131, 설정!$B$41)</f>
        <v/>
      </c>
      <c r="M131" s="8">
        <f>IF(L131&gt;=설정!$B$42,"●","")</f>
        <v/>
      </c>
      <c r="N131" s="17">
        <f>IF(M131="●",L131,0)</f>
        <v/>
      </c>
      <c r="O131" s="17">
        <f>IF(N131&gt;0,N131/설정!$B$44,0)</f>
        <v/>
      </c>
    </row>
    <row r="132">
      <c r="A132" s="15">
        <f>계산과정!A132</f>
        <v/>
      </c>
      <c r="B132" s="11">
        <f>계산과정!V132</f>
        <v/>
      </c>
      <c r="C132" s="12">
        <f>계산과정!W132</f>
        <v/>
      </c>
      <c r="D132" s="18">
        <f>계산과정!U132</f>
        <v/>
      </c>
      <c r="E132" s="18">
        <f>D132*C132</f>
        <v/>
      </c>
      <c r="F132" s="17">
        <f>원데이터!N132</f>
        <v/>
      </c>
      <c r="G132" s="17">
        <f>L131</f>
        <v/>
      </c>
      <c r="H132" s="17">
        <f>MAX(F132-G132, 0)</f>
        <v/>
      </c>
      <c r="I132" s="17">
        <f>MAX(G132-F132, 0)</f>
        <v/>
      </c>
      <c r="J132" s="18">
        <f>IF(I132&lt;=설정!$B$42, 1, (설정!$B$41-I132)/(설정!$B$41-설정!$B$42))</f>
        <v/>
      </c>
      <c r="K132" s="18">
        <f>J132*E132</f>
        <v/>
      </c>
      <c r="L132" s="17">
        <f>MIN(I132+K132, 설정!$B$41)</f>
        <v/>
      </c>
      <c r="M132" s="8">
        <f>IF(L132&gt;=설정!$B$42,"●","")</f>
        <v/>
      </c>
      <c r="N132" s="17">
        <f>IF(M132="●",L132,0)</f>
        <v/>
      </c>
      <c r="O132" s="17">
        <f>IF(N132&gt;0,N132/설정!$B$44,0)</f>
        <v/>
      </c>
    </row>
    <row r="133">
      <c r="A133" s="15">
        <f>계산과정!A133</f>
        <v/>
      </c>
      <c r="B133" s="11">
        <f>계산과정!V133</f>
        <v/>
      </c>
      <c r="C133" s="12">
        <f>계산과정!W133</f>
        <v/>
      </c>
      <c r="D133" s="18">
        <f>계산과정!U133</f>
        <v/>
      </c>
      <c r="E133" s="18">
        <f>D133*C133</f>
        <v/>
      </c>
      <c r="F133" s="17">
        <f>원데이터!N133</f>
        <v/>
      </c>
      <c r="G133" s="17">
        <f>L132</f>
        <v/>
      </c>
      <c r="H133" s="17">
        <f>MAX(F133-G133, 0)</f>
        <v/>
      </c>
      <c r="I133" s="17">
        <f>MAX(G133-F133, 0)</f>
        <v/>
      </c>
      <c r="J133" s="18">
        <f>IF(I133&lt;=설정!$B$42, 1, (설정!$B$41-I133)/(설정!$B$41-설정!$B$42))</f>
        <v/>
      </c>
      <c r="K133" s="18">
        <f>J133*E133</f>
        <v/>
      </c>
      <c r="L133" s="17">
        <f>MIN(I133+K133, 설정!$B$41)</f>
        <v/>
      </c>
      <c r="M133" s="8">
        <f>IF(L133&gt;=설정!$B$42,"●","")</f>
        <v/>
      </c>
      <c r="N133" s="17">
        <f>IF(M133="●",L133,0)</f>
        <v/>
      </c>
      <c r="O133" s="17">
        <f>IF(N133&gt;0,N133/설정!$B$44,0)</f>
        <v/>
      </c>
    </row>
    <row r="134">
      <c r="A134" s="15">
        <f>계산과정!A134</f>
        <v/>
      </c>
      <c r="B134" s="11">
        <f>계산과정!V134</f>
        <v/>
      </c>
      <c r="C134" s="12">
        <f>계산과정!W134</f>
        <v/>
      </c>
      <c r="D134" s="18">
        <f>계산과정!U134</f>
        <v/>
      </c>
      <c r="E134" s="18">
        <f>D134*C134</f>
        <v/>
      </c>
      <c r="F134" s="17">
        <f>원데이터!N134</f>
        <v/>
      </c>
      <c r="G134" s="17">
        <f>L133</f>
        <v/>
      </c>
      <c r="H134" s="17">
        <f>MAX(F134-G134, 0)</f>
        <v/>
      </c>
      <c r="I134" s="17">
        <f>MAX(G134-F134, 0)</f>
        <v/>
      </c>
      <c r="J134" s="18">
        <f>IF(I134&lt;=설정!$B$42, 1, (설정!$B$41-I134)/(설정!$B$41-설정!$B$42))</f>
        <v/>
      </c>
      <c r="K134" s="18">
        <f>J134*E134</f>
        <v/>
      </c>
      <c r="L134" s="17">
        <f>MIN(I134+K134, 설정!$B$41)</f>
        <v/>
      </c>
      <c r="M134" s="8">
        <f>IF(L134&gt;=설정!$B$42,"●","")</f>
        <v/>
      </c>
      <c r="N134" s="17">
        <f>IF(M134="●",L134,0)</f>
        <v/>
      </c>
      <c r="O134" s="17">
        <f>IF(N134&gt;0,N134/설정!$B$44,0)</f>
        <v/>
      </c>
    </row>
    <row r="135">
      <c r="A135" s="15">
        <f>계산과정!A135</f>
        <v/>
      </c>
      <c r="B135" s="11">
        <f>계산과정!V135</f>
        <v/>
      </c>
      <c r="C135" s="12">
        <f>계산과정!W135</f>
        <v/>
      </c>
      <c r="D135" s="18">
        <f>계산과정!U135</f>
        <v/>
      </c>
      <c r="E135" s="18">
        <f>D135*C135</f>
        <v/>
      </c>
      <c r="F135" s="17">
        <f>원데이터!N135</f>
        <v/>
      </c>
      <c r="G135" s="17">
        <f>L134</f>
        <v/>
      </c>
      <c r="H135" s="17">
        <f>MAX(F135-G135, 0)</f>
        <v/>
      </c>
      <c r="I135" s="17">
        <f>MAX(G135-F135, 0)</f>
        <v/>
      </c>
      <c r="J135" s="18">
        <f>IF(I135&lt;=설정!$B$42, 1, (설정!$B$41-I135)/(설정!$B$41-설정!$B$42))</f>
        <v/>
      </c>
      <c r="K135" s="18">
        <f>J135*E135</f>
        <v/>
      </c>
      <c r="L135" s="17">
        <f>MIN(I135+K135, 설정!$B$41)</f>
        <v/>
      </c>
      <c r="M135" s="8">
        <f>IF(L135&gt;=설정!$B$42,"●","")</f>
        <v/>
      </c>
      <c r="N135" s="17">
        <f>IF(M135="●",L135,0)</f>
        <v/>
      </c>
      <c r="O135" s="17">
        <f>IF(N135&gt;0,N135/설정!$B$44,0)</f>
        <v/>
      </c>
    </row>
    <row r="136">
      <c r="A136" s="15">
        <f>계산과정!A136</f>
        <v/>
      </c>
      <c r="B136" s="11">
        <f>계산과정!V136</f>
        <v/>
      </c>
      <c r="C136" s="12">
        <f>계산과정!W136</f>
        <v/>
      </c>
      <c r="D136" s="18">
        <f>계산과정!U136</f>
        <v/>
      </c>
      <c r="E136" s="18">
        <f>D136*C136</f>
        <v/>
      </c>
      <c r="F136" s="17">
        <f>원데이터!N136</f>
        <v/>
      </c>
      <c r="G136" s="17">
        <f>L135</f>
        <v/>
      </c>
      <c r="H136" s="17">
        <f>MAX(F136-G136, 0)</f>
        <v/>
      </c>
      <c r="I136" s="17">
        <f>MAX(G136-F136, 0)</f>
        <v/>
      </c>
      <c r="J136" s="18">
        <f>IF(I136&lt;=설정!$B$42, 1, (설정!$B$41-I136)/(설정!$B$41-설정!$B$42))</f>
        <v/>
      </c>
      <c r="K136" s="18">
        <f>J136*E136</f>
        <v/>
      </c>
      <c r="L136" s="17">
        <f>MIN(I136+K136, 설정!$B$41)</f>
        <v/>
      </c>
      <c r="M136" s="8">
        <f>IF(L136&gt;=설정!$B$42,"●","")</f>
        <v/>
      </c>
      <c r="N136" s="17">
        <f>IF(M136="●",L136,0)</f>
        <v/>
      </c>
      <c r="O136" s="17">
        <f>IF(N136&gt;0,N136/설정!$B$44,0)</f>
        <v/>
      </c>
    </row>
    <row r="137">
      <c r="A137" s="15">
        <f>계산과정!A137</f>
        <v/>
      </c>
      <c r="B137" s="11">
        <f>계산과정!V137</f>
        <v/>
      </c>
      <c r="C137" s="12">
        <f>계산과정!W137</f>
        <v/>
      </c>
      <c r="D137" s="18">
        <f>계산과정!U137</f>
        <v/>
      </c>
      <c r="E137" s="18">
        <f>D137*C137</f>
        <v/>
      </c>
      <c r="F137" s="17">
        <f>원데이터!N137</f>
        <v/>
      </c>
      <c r="G137" s="17">
        <f>L136</f>
        <v/>
      </c>
      <c r="H137" s="17">
        <f>MAX(F137-G137, 0)</f>
        <v/>
      </c>
      <c r="I137" s="17">
        <f>MAX(G137-F137, 0)</f>
        <v/>
      </c>
      <c r="J137" s="18">
        <f>IF(I137&lt;=설정!$B$42, 1, (설정!$B$41-I137)/(설정!$B$41-설정!$B$42))</f>
        <v/>
      </c>
      <c r="K137" s="18">
        <f>J137*E137</f>
        <v/>
      </c>
      <c r="L137" s="17">
        <f>MIN(I137+K137, 설정!$B$41)</f>
        <v/>
      </c>
      <c r="M137" s="8">
        <f>IF(L137&gt;=설정!$B$42,"●","")</f>
        <v/>
      </c>
      <c r="N137" s="17">
        <f>IF(M137="●",L137,0)</f>
        <v/>
      </c>
      <c r="O137" s="17">
        <f>IF(N137&gt;0,N137/설정!$B$44,0)</f>
        <v/>
      </c>
    </row>
    <row r="138">
      <c r="A138" s="15">
        <f>계산과정!A138</f>
        <v/>
      </c>
      <c r="B138" s="11">
        <f>계산과정!V138</f>
        <v/>
      </c>
      <c r="C138" s="12">
        <f>계산과정!W138</f>
        <v/>
      </c>
      <c r="D138" s="18">
        <f>계산과정!U138</f>
        <v/>
      </c>
      <c r="E138" s="18">
        <f>D138*C138</f>
        <v/>
      </c>
      <c r="F138" s="17">
        <f>원데이터!N138</f>
        <v/>
      </c>
      <c r="G138" s="17">
        <f>L137</f>
        <v/>
      </c>
      <c r="H138" s="17">
        <f>MAX(F138-G138, 0)</f>
        <v/>
      </c>
      <c r="I138" s="17">
        <f>MAX(G138-F138, 0)</f>
        <v/>
      </c>
      <c r="J138" s="18">
        <f>IF(I138&lt;=설정!$B$42, 1, (설정!$B$41-I138)/(설정!$B$41-설정!$B$42))</f>
        <v/>
      </c>
      <c r="K138" s="18">
        <f>J138*E138</f>
        <v/>
      </c>
      <c r="L138" s="17">
        <f>MIN(I138+K138, 설정!$B$41)</f>
        <v/>
      </c>
      <c r="M138" s="8">
        <f>IF(L138&gt;=설정!$B$42,"●","")</f>
        <v/>
      </c>
      <c r="N138" s="17">
        <f>IF(M138="●",L138,0)</f>
        <v/>
      </c>
      <c r="O138" s="17">
        <f>IF(N138&gt;0,N138/설정!$B$44,0)</f>
        <v/>
      </c>
    </row>
    <row r="139">
      <c r="A139" s="15">
        <f>계산과정!A139</f>
        <v/>
      </c>
      <c r="B139" s="11">
        <f>계산과정!V139</f>
        <v/>
      </c>
      <c r="C139" s="12">
        <f>계산과정!W139</f>
        <v/>
      </c>
      <c r="D139" s="18">
        <f>계산과정!U139</f>
        <v/>
      </c>
      <c r="E139" s="18">
        <f>D139*C139</f>
        <v/>
      </c>
      <c r="F139" s="17">
        <f>원데이터!N139</f>
        <v/>
      </c>
      <c r="G139" s="17">
        <f>L138</f>
        <v/>
      </c>
      <c r="H139" s="17">
        <f>MAX(F139-G139, 0)</f>
        <v/>
      </c>
      <c r="I139" s="17">
        <f>MAX(G139-F139, 0)</f>
        <v/>
      </c>
      <c r="J139" s="18">
        <f>IF(I139&lt;=설정!$B$42, 1, (설정!$B$41-I139)/(설정!$B$41-설정!$B$42))</f>
        <v/>
      </c>
      <c r="K139" s="18">
        <f>J139*E139</f>
        <v/>
      </c>
      <c r="L139" s="17">
        <f>MIN(I139+K139, 설정!$B$41)</f>
        <v/>
      </c>
      <c r="M139" s="8">
        <f>IF(L139&gt;=설정!$B$42,"●","")</f>
        <v/>
      </c>
      <c r="N139" s="17">
        <f>IF(M139="●",L139,0)</f>
        <v/>
      </c>
      <c r="O139" s="17">
        <f>IF(N139&gt;0,N139/설정!$B$44,0)</f>
        <v/>
      </c>
    </row>
    <row r="140">
      <c r="A140" s="15">
        <f>계산과정!A140</f>
        <v/>
      </c>
      <c r="B140" s="11">
        <f>계산과정!V140</f>
        <v/>
      </c>
      <c r="C140" s="12">
        <f>계산과정!W140</f>
        <v/>
      </c>
      <c r="D140" s="18">
        <f>계산과정!U140</f>
        <v/>
      </c>
      <c r="E140" s="18">
        <f>D140*C140</f>
        <v/>
      </c>
      <c r="F140" s="17">
        <f>원데이터!N140</f>
        <v/>
      </c>
      <c r="G140" s="17">
        <f>L139</f>
        <v/>
      </c>
      <c r="H140" s="17">
        <f>MAX(F140-G140, 0)</f>
        <v/>
      </c>
      <c r="I140" s="17">
        <f>MAX(G140-F140, 0)</f>
        <v/>
      </c>
      <c r="J140" s="18">
        <f>IF(I140&lt;=설정!$B$42, 1, (설정!$B$41-I140)/(설정!$B$41-설정!$B$42))</f>
        <v/>
      </c>
      <c r="K140" s="18">
        <f>J140*E140</f>
        <v/>
      </c>
      <c r="L140" s="17">
        <f>MIN(I140+K140, 설정!$B$41)</f>
        <v/>
      </c>
      <c r="M140" s="8">
        <f>IF(L140&gt;=설정!$B$42,"●","")</f>
        <v/>
      </c>
      <c r="N140" s="17">
        <f>IF(M140="●",L140,0)</f>
        <v/>
      </c>
      <c r="O140" s="17">
        <f>IF(N140&gt;0,N140/설정!$B$44,0)</f>
        <v/>
      </c>
    </row>
    <row r="141">
      <c r="A141" s="15">
        <f>계산과정!A141</f>
        <v/>
      </c>
      <c r="B141" s="11">
        <f>계산과정!V141</f>
        <v/>
      </c>
      <c r="C141" s="12">
        <f>계산과정!W141</f>
        <v/>
      </c>
      <c r="D141" s="18">
        <f>계산과정!U141</f>
        <v/>
      </c>
      <c r="E141" s="18">
        <f>D141*C141</f>
        <v/>
      </c>
      <c r="F141" s="17">
        <f>원데이터!N141</f>
        <v/>
      </c>
      <c r="G141" s="17">
        <f>L140</f>
        <v/>
      </c>
      <c r="H141" s="17">
        <f>MAX(F141-G141, 0)</f>
        <v/>
      </c>
      <c r="I141" s="17">
        <f>MAX(G141-F141, 0)</f>
        <v/>
      </c>
      <c r="J141" s="18">
        <f>IF(I141&lt;=설정!$B$42, 1, (설정!$B$41-I141)/(설정!$B$41-설정!$B$42))</f>
        <v/>
      </c>
      <c r="K141" s="18">
        <f>J141*E141</f>
        <v/>
      </c>
      <c r="L141" s="17">
        <f>MIN(I141+K141, 설정!$B$41)</f>
        <v/>
      </c>
      <c r="M141" s="8">
        <f>IF(L141&gt;=설정!$B$42,"●","")</f>
        <v/>
      </c>
      <c r="N141" s="17">
        <f>IF(M141="●",L141,0)</f>
        <v/>
      </c>
      <c r="O141" s="17">
        <f>IF(N141&gt;0,N141/설정!$B$44,0)</f>
        <v/>
      </c>
    </row>
    <row r="142">
      <c r="A142" s="15">
        <f>계산과정!A142</f>
        <v/>
      </c>
      <c r="B142" s="11">
        <f>계산과정!V142</f>
        <v/>
      </c>
      <c r="C142" s="12">
        <f>계산과정!W142</f>
        <v/>
      </c>
      <c r="D142" s="18">
        <f>계산과정!U142</f>
        <v/>
      </c>
      <c r="E142" s="18">
        <f>D142*C142</f>
        <v/>
      </c>
      <c r="F142" s="17">
        <f>원데이터!N142</f>
        <v/>
      </c>
      <c r="G142" s="17">
        <f>L141</f>
        <v/>
      </c>
      <c r="H142" s="17">
        <f>MAX(F142-G142, 0)</f>
        <v/>
      </c>
      <c r="I142" s="17">
        <f>MAX(G142-F142, 0)</f>
        <v/>
      </c>
      <c r="J142" s="18">
        <f>IF(I142&lt;=설정!$B$42, 1, (설정!$B$41-I142)/(설정!$B$41-설정!$B$42))</f>
        <v/>
      </c>
      <c r="K142" s="18">
        <f>J142*E142</f>
        <v/>
      </c>
      <c r="L142" s="17">
        <f>MIN(I142+K142, 설정!$B$41)</f>
        <v/>
      </c>
      <c r="M142" s="8">
        <f>IF(L142&gt;=설정!$B$42,"●","")</f>
        <v/>
      </c>
      <c r="N142" s="17">
        <f>IF(M142="●",L142,0)</f>
        <v/>
      </c>
      <c r="O142" s="17">
        <f>IF(N142&gt;0,N142/설정!$B$44,0)</f>
        <v/>
      </c>
    </row>
    <row r="143">
      <c r="A143" s="15">
        <f>계산과정!A143</f>
        <v/>
      </c>
      <c r="B143" s="11">
        <f>계산과정!V143</f>
        <v/>
      </c>
      <c r="C143" s="12">
        <f>계산과정!W143</f>
        <v/>
      </c>
      <c r="D143" s="18">
        <f>계산과정!U143</f>
        <v/>
      </c>
      <c r="E143" s="18">
        <f>D143*C143</f>
        <v/>
      </c>
      <c r="F143" s="17">
        <f>원데이터!N143</f>
        <v/>
      </c>
      <c r="G143" s="17">
        <f>L142</f>
        <v/>
      </c>
      <c r="H143" s="17">
        <f>MAX(F143-G143, 0)</f>
        <v/>
      </c>
      <c r="I143" s="17">
        <f>MAX(G143-F143, 0)</f>
        <v/>
      </c>
      <c r="J143" s="18">
        <f>IF(I143&lt;=설정!$B$42, 1, (설정!$B$41-I143)/(설정!$B$41-설정!$B$42))</f>
        <v/>
      </c>
      <c r="K143" s="18">
        <f>J143*E143</f>
        <v/>
      </c>
      <c r="L143" s="17">
        <f>MIN(I143+K143, 설정!$B$41)</f>
        <v/>
      </c>
      <c r="M143" s="8">
        <f>IF(L143&gt;=설정!$B$42,"●","")</f>
        <v/>
      </c>
      <c r="N143" s="17">
        <f>IF(M143="●",L143,0)</f>
        <v/>
      </c>
      <c r="O143" s="17">
        <f>IF(N143&gt;0,N143/설정!$B$44,0)</f>
        <v/>
      </c>
    </row>
    <row r="144">
      <c r="A144" s="15">
        <f>계산과정!A144</f>
        <v/>
      </c>
      <c r="B144" s="11">
        <f>계산과정!V144</f>
        <v/>
      </c>
      <c r="C144" s="12">
        <f>계산과정!W144</f>
        <v/>
      </c>
      <c r="D144" s="18">
        <f>계산과정!U144</f>
        <v/>
      </c>
      <c r="E144" s="18">
        <f>D144*C144</f>
        <v/>
      </c>
      <c r="F144" s="17">
        <f>원데이터!N144</f>
        <v/>
      </c>
      <c r="G144" s="17">
        <f>L143</f>
        <v/>
      </c>
      <c r="H144" s="17">
        <f>MAX(F144-G144, 0)</f>
        <v/>
      </c>
      <c r="I144" s="17">
        <f>MAX(G144-F144, 0)</f>
        <v/>
      </c>
      <c r="J144" s="18">
        <f>IF(I144&lt;=설정!$B$42, 1, (설정!$B$41-I144)/(설정!$B$41-설정!$B$42))</f>
        <v/>
      </c>
      <c r="K144" s="18">
        <f>J144*E144</f>
        <v/>
      </c>
      <c r="L144" s="17">
        <f>MIN(I144+K144, 설정!$B$41)</f>
        <v/>
      </c>
      <c r="M144" s="8">
        <f>IF(L144&gt;=설정!$B$42,"●","")</f>
        <v/>
      </c>
      <c r="N144" s="17">
        <f>IF(M144="●",L144,0)</f>
        <v/>
      </c>
      <c r="O144" s="17">
        <f>IF(N144&gt;0,N144/설정!$B$44,0)</f>
        <v/>
      </c>
    </row>
    <row r="145">
      <c r="A145" s="15">
        <f>계산과정!A145</f>
        <v/>
      </c>
      <c r="B145" s="11">
        <f>계산과정!V145</f>
        <v/>
      </c>
      <c r="C145" s="12">
        <f>계산과정!W145</f>
        <v/>
      </c>
      <c r="D145" s="18">
        <f>계산과정!U145</f>
        <v/>
      </c>
      <c r="E145" s="18">
        <f>D145*C145</f>
        <v/>
      </c>
      <c r="F145" s="17">
        <f>원데이터!N145</f>
        <v/>
      </c>
      <c r="G145" s="17">
        <f>L144</f>
        <v/>
      </c>
      <c r="H145" s="17">
        <f>MAX(F145-G145, 0)</f>
        <v/>
      </c>
      <c r="I145" s="17">
        <f>MAX(G145-F145, 0)</f>
        <v/>
      </c>
      <c r="J145" s="18">
        <f>IF(I145&lt;=설정!$B$42, 1, (설정!$B$41-I145)/(설정!$B$41-설정!$B$42))</f>
        <v/>
      </c>
      <c r="K145" s="18">
        <f>J145*E145</f>
        <v/>
      </c>
      <c r="L145" s="17">
        <f>MIN(I145+K145, 설정!$B$41)</f>
        <v/>
      </c>
      <c r="M145" s="8">
        <f>IF(L145&gt;=설정!$B$42,"●","")</f>
        <v/>
      </c>
      <c r="N145" s="17">
        <f>IF(M145="●",L145,0)</f>
        <v/>
      </c>
      <c r="O145" s="17">
        <f>IF(N145&gt;0,N145/설정!$B$44,0)</f>
        <v/>
      </c>
    </row>
    <row r="146">
      <c r="A146" s="15">
        <f>계산과정!A146</f>
        <v/>
      </c>
      <c r="B146" s="11">
        <f>계산과정!V146</f>
        <v/>
      </c>
      <c r="C146" s="12">
        <f>계산과정!W146</f>
        <v/>
      </c>
      <c r="D146" s="18">
        <f>계산과정!U146</f>
        <v/>
      </c>
      <c r="E146" s="18">
        <f>D146*C146</f>
        <v/>
      </c>
      <c r="F146" s="17">
        <f>원데이터!N146</f>
        <v/>
      </c>
      <c r="G146" s="17">
        <f>L145</f>
        <v/>
      </c>
      <c r="H146" s="17">
        <f>MAX(F146-G146, 0)</f>
        <v/>
      </c>
      <c r="I146" s="17">
        <f>MAX(G146-F146, 0)</f>
        <v/>
      </c>
      <c r="J146" s="18">
        <f>IF(I146&lt;=설정!$B$42, 1, (설정!$B$41-I146)/(설정!$B$41-설정!$B$42))</f>
        <v/>
      </c>
      <c r="K146" s="18">
        <f>J146*E146</f>
        <v/>
      </c>
      <c r="L146" s="17">
        <f>MIN(I146+K146, 설정!$B$41)</f>
        <v/>
      </c>
      <c r="M146" s="8">
        <f>IF(L146&gt;=설정!$B$42,"●","")</f>
        <v/>
      </c>
      <c r="N146" s="17">
        <f>IF(M146="●",L146,0)</f>
        <v/>
      </c>
      <c r="O146" s="17">
        <f>IF(N146&gt;0,N146/설정!$B$44,0)</f>
        <v/>
      </c>
    </row>
    <row r="147">
      <c r="A147" s="15">
        <f>계산과정!A147</f>
        <v/>
      </c>
      <c r="B147" s="11">
        <f>계산과정!V147</f>
        <v/>
      </c>
      <c r="C147" s="12">
        <f>계산과정!W147</f>
        <v/>
      </c>
      <c r="D147" s="18">
        <f>계산과정!U147</f>
        <v/>
      </c>
      <c r="E147" s="18">
        <f>D147*C147</f>
        <v/>
      </c>
      <c r="F147" s="17">
        <f>원데이터!N147</f>
        <v/>
      </c>
      <c r="G147" s="17">
        <f>L146</f>
        <v/>
      </c>
      <c r="H147" s="17">
        <f>MAX(F147-G147, 0)</f>
        <v/>
      </c>
      <c r="I147" s="17">
        <f>MAX(G147-F147, 0)</f>
        <v/>
      </c>
      <c r="J147" s="18">
        <f>IF(I147&lt;=설정!$B$42, 1, (설정!$B$41-I147)/(설정!$B$41-설정!$B$42))</f>
        <v/>
      </c>
      <c r="K147" s="18">
        <f>J147*E147</f>
        <v/>
      </c>
      <c r="L147" s="17">
        <f>MIN(I147+K147, 설정!$B$41)</f>
        <v/>
      </c>
      <c r="M147" s="8">
        <f>IF(L147&gt;=설정!$B$42,"●","")</f>
        <v/>
      </c>
      <c r="N147" s="17">
        <f>IF(M147="●",L147,0)</f>
        <v/>
      </c>
      <c r="O147" s="17">
        <f>IF(N147&gt;0,N147/설정!$B$44,0)</f>
        <v/>
      </c>
    </row>
    <row r="148">
      <c r="A148" s="15">
        <f>계산과정!A148</f>
        <v/>
      </c>
      <c r="B148" s="11">
        <f>계산과정!V148</f>
        <v/>
      </c>
      <c r="C148" s="12">
        <f>계산과정!W148</f>
        <v/>
      </c>
      <c r="D148" s="18">
        <f>계산과정!U148</f>
        <v/>
      </c>
      <c r="E148" s="18">
        <f>D148*C148</f>
        <v/>
      </c>
      <c r="F148" s="17">
        <f>원데이터!N148</f>
        <v/>
      </c>
      <c r="G148" s="17">
        <f>L147</f>
        <v/>
      </c>
      <c r="H148" s="17">
        <f>MAX(F148-G148, 0)</f>
        <v/>
      </c>
      <c r="I148" s="17">
        <f>MAX(G148-F148, 0)</f>
        <v/>
      </c>
      <c r="J148" s="18">
        <f>IF(I148&lt;=설정!$B$42, 1, (설정!$B$41-I148)/(설정!$B$41-설정!$B$42))</f>
        <v/>
      </c>
      <c r="K148" s="18">
        <f>J148*E148</f>
        <v/>
      </c>
      <c r="L148" s="17">
        <f>MIN(I148+K148, 설정!$B$41)</f>
        <v/>
      </c>
      <c r="M148" s="8">
        <f>IF(L148&gt;=설정!$B$42,"●","")</f>
        <v/>
      </c>
      <c r="N148" s="17">
        <f>IF(M148="●",L148,0)</f>
        <v/>
      </c>
      <c r="O148" s="17">
        <f>IF(N148&gt;0,N148/설정!$B$44,0)</f>
        <v/>
      </c>
    </row>
    <row r="149">
      <c r="A149" s="15">
        <f>계산과정!A149</f>
        <v/>
      </c>
      <c r="B149" s="11">
        <f>계산과정!V149</f>
        <v/>
      </c>
      <c r="C149" s="12">
        <f>계산과정!W149</f>
        <v/>
      </c>
      <c r="D149" s="18">
        <f>계산과정!U149</f>
        <v/>
      </c>
      <c r="E149" s="18">
        <f>D149*C149</f>
        <v/>
      </c>
      <c r="F149" s="17">
        <f>원데이터!N149</f>
        <v/>
      </c>
      <c r="G149" s="17">
        <f>L148</f>
        <v/>
      </c>
      <c r="H149" s="17">
        <f>MAX(F149-G149, 0)</f>
        <v/>
      </c>
      <c r="I149" s="17">
        <f>MAX(G149-F149, 0)</f>
        <v/>
      </c>
      <c r="J149" s="18">
        <f>IF(I149&lt;=설정!$B$42, 1, (설정!$B$41-I149)/(설정!$B$41-설정!$B$42))</f>
        <v/>
      </c>
      <c r="K149" s="18">
        <f>J149*E149</f>
        <v/>
      </c>
      <c r="L149" s="17">
        <f>MIN(I149+K149, 설정!$B$41)</f>
        <v/>
      </c>
      <c r="M149" s="8">
        <f>IF(L149&gt;=설정!$B$42,"●","")</f>
        <v/>
      </c>
      <c r="N149" s="17">
        <f>IF(M149="●",L149,0)</f>
        <v/>
      </c>
      <c r="O149" s="17">
        <f>IF(N149&gt;0,N149/설정!$B$44,0)</f>
        <v/>
      </c>
    </row>
    <row r="150">
      <c r="A150" s="15">
        <f>계산과정!A150</f>
        <v/>
      </c>
      <c r="B150" s="11">
        <f>계산과정!V150</f>
        <v/>
      </c>
      <c r="C150" s="12">
        <f>계산과정!W150</f>
        <v/>
      </c>
      <c r="D150" s="18">
        <f>계산과정!U150</f>
        <v/>
      </c>
      <c r="E150" s="18">
        <f>D150*C150</f>
        <v/>
      </c>
      <c r="F150" s="17">
        <f>원데이터!N150</f>
        <v/>
      </c>
      <c r="G150" s="17">
        <f>L149</f>
        <v/>
      </c>
      <c r="H150" s="17">
        <f>MAX(F150-G150, 0)</f>
        <v/>
      </c>
      <c r="I150" s="17">
        <f>MAX(G150-F150, 0)</f>
        <v/>
      </c>
      <c r="J150" s="18">
        <f>IF(I150&lt;=설정!$B$42, 1, (설정!$B$41-I150)/(설정!$B$41-설정!$B$42))</f>
        <v/>
      </c>
      <c r="K150" s="18">
        <f>J150*E150</f>
        <v/>
      </c>
      <c r="L150" s="17">
        <f>MIN(I150+K150, 설정!$B$41)</f>
        <v/>
      </c>
      <c r="M150" s="8">
        <f>IF(L150&gt;=설정!$B$42,"●","")</f>
        <v/>
      </c>
      <c r="N150" s="17">
        <f>IF(M150="●",L150,0)</f>
        <v/>
      </c>
      <c r="O150" s="17">
        <f>IF(N150&gt;0,N150/설정!$B$44,0)</f>
        <v/>
      </c>
    </row>
    <row r="151">
      <c r="A151" s="15">
        <f>계산과정!A151</f>
        <v/>
      </c>
      <c r="B151" s="11">
        <f>계산과정!V151</f>
        <v/>
      </c>
      <c r="C151" s="12">
        <f>계산과정!W151</f>
        <v/>
      </c>
      <c r="D151" s="18">
        <f>계산과정!U151</f>
        <v/>
      </c>
      <c r="E151" s="18">
        <f>D151*C151</f>
        <v/>
      </c>
      <c r="F151" s="17">
        <f>원데이터!N151</f>
        <v/>
      </c>
      <c r="G151" s="17">
        <f>L150</f>
        <v/>
      </c>
      <c r="H151" s="17">
        <f>MAX(F151-G151, 0)</f>
        <v/>
      </c>
      <c r="I151" s="17">
        <f>MAX(G151-F151, 0)</f>
        <v/>
      </c>
      <c r="J151" s="18">
        <f>IF(I151&lt;=설정!$B$42, 1, (설정!$B$41-I151)/(설정!$B$41-설정!$B$42))</f>
        <v/>
      </c>
      <c r="K151" s="18">
        <f>J151*E151</f>
        <v/>
      </c>
      <c r="L151" s="17">
        <f>MIN(I151+K151, 설정!$B$41)</f>
        <v/>
      </c>
      <c r="M151" s="8">
        <f>IF(L151&gt;=설정!$B$42,"●","")</f>
        <v/>
      </c>
      <c r="N151" s="17">
        <f>IF(M151="●",L151,0)</f>
        <v/>
      </c>
      <c r="O151" s="17">
        <f>IF(N151&gt;0,N151/설정!$B$44,0)</f>
        <v/>
      </c>
    </row>
    <row r="152">
      <c r="A152" s="15">
        <f>계산과정!A152</f>
        <v/>
      </c>
      <c r="B152" s="11">
        <f>계산과정!V152</f>
        <v/>
      </c>
      <c r="C152" s="12">
        <f>계산과정!W152</f>
        <v/>
      </c>
      <c r="D152" s="18">
        <f>계산과정!U152</f>
        <v/>
      </c>
      <c r="E152" s="18">
        <f>D152*C152</f>
        <v/>
      </c>
      <c r="F152" s="17">
        <f>원데이터!N152</f>
        <v/>
      </c>
      <c r="G152" s="17">
        <f>L151</f>
        <v/>
      </c>
      <c r="H152" s="17">
        <f>MAX(F152-G152, 0)</f>
        <v/>
      </c>
      <c r="I152" s="17">
        <f>MAX(G152-F152, 0)</f>
        <v/>
      </c>
      <c r="J152" s="18">
        <f>IF(I152&lt;=설정!$B$42, 1, (설정!$B$41-I152)/(설정!$B$41-설정!$B$42))</f>
        <v/>
      </c>
      <c r="K152" s="18">
        <f>J152*E152</f>
        <v/>
      </c>
      <c r="L152" s="17">
        <f>MIN(I152+K152, 설정!$B$41)</f>
        <v/>
      </c>
      <c r="M152" s="8">
        <f>IF(L152&gt;=설정!$B$42,"●","")</f>
        <v/>
      </c>
      <c r="N152" s="17">
        <f>IF(M152="●",L152,0)</f>
        <v/>
      </c>
      <c r="O152" s="17">
        <f>IF(N152&gt;0,N152/설정!$B$44,0)</f>
        <v/>
      </c>
    </row>
    <row r="153">
      <c r="A153" s="15">
        <f>계산과정!A153</f>
        <v/>
      </c>
      <c r="B153" s="11">
        <f>계산과정!V153</f>
        <v/>
      </c>
      <c r="C153" s="12">
        <f>계산과정!W153</f>
        <v/>
      </c>
      <c r="D153" s="18">
        <f>계산과정!U153</f>
        <v/>
      </c>
      <c r="E153" s="18">
        <f>D153*C153</f>
        <v/>
      </c>
      <c r="F153" s="17">
        <f>원데이터!N153</f>
        <v/>
      </c>
      <c r="G153" s="17">
        <f>L152</f>
        <v/>
      </c>
      <c r="H153" s="17">
        <f>MAX(F153-G153, 0)</f>
        <v/>
      </c>
      <c r="I153" s="17">
        <f>MAX(G153-F153, 0)</f>
        <v/>
      </c>
      <c r="J153" s="18">
        <f>IF(I153&lt;=설정!$B$42, 1, (설정!$B$41-I153)/(설정!$B$41-설정!$B$42))</f>
        <v/>
      </c>
      <c r="K153" s="18">
        <f>J153*E153</f>
        <v/>
      </c>
      <c r="L153" s="17">
        <f>MIN(I153+K153, 설정!$B$41)</f>
        <v/>
      </c>
      <c r="M153" s="8">
        <f>IF(L153&gt;=설정!$B$42,"●","")</f>
        <v/>
      </c>
      <c r="N153" s="17">
        <f>IF(M153="●",L153,0)</f>
        <v/>
      </c>
      <c r="O153" s="17">
        <f>IF(N153&gt;0,N153/설정!$B$44,0)</f>
        <v/>
      </c>
    </row>
    <row r="154">
      <c r="A154" s="15">
        <f>계산과정!A154</f>
        <v/>
      </c>
      <c r="B154" s="11">
        <f>계산과정!V154</f>
        <v/>
      </c>
      <c r="C154" s="12">
        <f>계산과정!W154</f>
        <v/>
      </c>
      <c r="D154" s="18">
        <f>계산과정!U154</f>
        <v/>
      </c>
      <c r="E154" s="18">
        <f>D154*C154</f>
        <v/>
      </c>
      <c r="F154" s="17">
        <f>원데이터!N154</f>
        <v/>
      </c>
      <c r="G154" s="17">
        <f>L153</f>
        <v/>
      </c>
      <c r="H154" s="17">
        <f>MAX(F154-G154, 0)</f>
        <v/>
      </c>
      <c r="I154" s="17">
        <f>MAX(G154-F154, 0)</f>
        <v/>
      </c>
      <c r="J154" s="18">
        <f>IF(I154&lt;=설정!$B$42, 1, (설정!$B$41-I154)/(설정!$B$41-설정!$B$42))</f>
        <v/>
      </c>
      <c r="K154" s="18">
        <f>J154*E154</f>
        <v/>
      </c>
      <c r="L154" s="17">
        <f>MIN(I154+K154, 설정!$B$41)</f>
        <v/>
      </c>
      <c r="M154" s="8">
        <f>IF(L154&gt;=설정!$B$42,"●","")</f>
        <v/>
      </c>
      <c r="N154" s="17">
        <f>IF(M154="●",L154,0)</f>
        <v/>
      </c>
      <c r="O154" s="17">
        <f>IF(N154&gt;0,N154/설정!$B$44,0)</f>
        <v/>
      </c>
    </row>
    <row r="155">
      <c r="A155" s="15">
        <f>계산과정!A155</f>
        <v/>
      </c>
      <c r="B155" s="11">
        <f>계산과정!V155</f>
        <v/>
      </c>
      <c r="C155" s="12">
        <f>계산과정!W155</f>
        <v/>
      </c>
      <c r="D155" s="18">
        <f>계산과정!U155</f>
        <v/>
      </c>
      <c r="E155" s="18">
        <f>D155*C155</f>
        <v/>
      </c>
      <c r="F155" s="17">
        <f>원데이터!N155</f>
        <v/>
      </c>
      <c r="G155" s="17">
        <f>L154</f>
        <v/>
      </c>
      <c r="H155" s="17">
        <f>MAX(F155-G155, 0)</f>
        <v/>
      </c>
      <c r="I155" s="17">
        <f>MAX(G155-F155, 0)</f>
        <v/>
      </c>
      <c r="J155" s="18">
        <f>IF(I155&lt;=설정!$B$42, 1, (설정!$B$41-I155)/(설정!$B$41-설정!$B$42))</f>
        <v/>
      </c>
      <c r="K155" s="18">
        <f>J155*E155</f>
        <v/>
      </c>
      <c r="L155" s="17">
        <f>MIN(I155+K155, 설정!$B$41)</f>
        <v/>
      </c>
      <c r="M155" s="8">
        <f>IF(L155&gt;=설정!$B$42,"●","")</f>
        <v/>
      </c>
      <c r="N155" s="17">
        <f>IF(M155="●",L155,0)</f>
        <v/>
      </c>
      <c r="O155" s="17">
        <f>IF(N155&gt;0,N155/설정!$B$44,0)</f>
        <v/>
      </c>
    </row>
    <row r="156">
      <c r="A156" s="15">
        <f>계산과정!A156</f>
        <v/>
      </c>
      <c r="B156" s="11">
        <f>계산과정!V156</f>
        <v/>
      </c>
      <c r="C156" s="12">
        <f>계산과정!W156</f>
        <v/>
      </c>
      <c r="D156" s="18">
        <f>계산과정!U156</f>
        <v/>
      </c>
      <c r="E156" s="18">
        <f>D156*C156</f>
        <v/>
      </c>
      <c r="F156" s="17">
        <f>원데이터!N156</f>
        <v/>
      </c>
      <c r="G156" s="17">
        <f>L155</f>
        <v/>
      </c>
      <c r="H156" s="17">
        <f>MAX(F156-G156, 0)</f>
        <v/>
      </c>
      <c r="I156" s="17">
        <f>MAX(G156-F156, 0)</f>
        <v/>
      </c>
      <c r="J156" s="18">
        <f>IF(I156&lt;=설정!$B$42, 1, (설정!$B$41-I156)/(설정!$B$41-설정!$B$42))</f>
        <v/>
      </c>
      <c r="K156" s="18">
        <f>J156*E156</f>
        <v/>
      </c>
      <c r="L156" s="17">
        <f>MIN(I156+K156, 설정!$B$41)</f>
        <v/>
      </c>
      <c r="M156" s="8">
        <f>IF(L156&gt;=설정!$B$42,"●","")</f>
        <v/>
      </c>
      <c r="N156" s="17">
        <f>IF(M156="●",L156,0)</f>
        <v/>
      </c>
      <c r="O156" s="17">
        <f>IF(N156&gt;0,N156/설정!$B$44,0)</f>
        <v/>
      </c>
    </row>
    <row r="157">
      <c r="A157" s="15">
        <f>계산과정!A157</f>
        <v/>
      </c>
      <c r="B157" s="11">
        <f>계산과정!V157</f>
        <v/>
      </c>
      <c r="C157" s="12">
        <f>계산과정!W157</f>
        <v/>
      </c>
      <c r="D157" s="18">
        <f>계산과정!U157</f>
        <v/>
      </c>
      <c r="E157" s="18">
        <f>D157*C157</f>
        <v/>
      </c>
      <c r="F157" s="17">
        <f>원데이터!N157</f>
        <v/>
      </c>
      <c r="G157" s="17">
        <f>L156</f>
        <v/>
      </c>
      <c r="H157" s="17">
        <f>MAX(F157-G157, 0)</f>
        <v/>
      </c>
      <c r="I157" s="17">
        <f>MAX(G157-F157, 0)</f>
        <v/>
      </c>
      <c r="J157" s="18">
        <f>IF(I157&lt;=설정!$B$42, 1, (설정!$B$41-I157)/(설정!$B$41-설정!$B$42))</f>
        <v/>
      </c>
      <c r="K157" s="18">
        <f>J157*E157</f>
        <v/>
      </c>
      <c r="L157" s="17">
        <f>MIN(I157+K157, 설정!$B$41)</f>
        <v/>
      </c>
      <c r="M157" s="8">
        <f>IF(L157&gt;=설정!$B$42,"●","")</f>
        <v/>
      </c>
      <c r="N157" s="17">
        <f>IF(M157="●",L157,0)</f>
        <v/>
      </c>
      <c r="O157" s="17">
        <f>IF(N157&gt;0,N157/설정!$B$44,0)</f>
        <v/>
      </c>
    </row>
    <row r="158">
      <c r="A158" s="15">
        <f>계산과정!A158</f>
        <v/>
      </c>
      <c r="B158" s="11">
        <f>계산과정!V158</f>
        <v/>
      </c>
      <c r="C158" s="12">
        <f>계산과정!W158</f>
        <v/>
      </c>
      <c r="D158" s="18">
        <f>계산과정!U158</f>
        <v/>
      </c>
      <c r="E158" s="18">
        <f>D158*C158</f>
        <v/>
      </c>
      <c r="F158" s="17">
        <f>원데이터!N158</f>
        <v/>
      </c>
      <c r="G158" s="17">
        <f>L157</f>
        <v/>
      </c>
      <c r="H158" s="17">
        <f>MAX(F158-G158, 0)</f>
        <v/>
      </c>
      <c r="I158" s="17">
        <f>MAX(G158-F158, 0)</f>
        <v/>
      </c>
      <c r="J158" s="18">
        <f>IF(I158&lt;=설정!$B$42, 1, (설정!$B$41-I158)/(설정!$B$41-설정!$B$42))</f>
        <v/>
      </c>
      <c r="K158" s="18">
        <f>J158*E158</f>
        <v/>
      </c>
      <c r="L158" s="17">
        <f>MIN(I158+K158, 설정!$B$41)</f>
        <v/>
      </c>
      <c r="M158" s="8">
        <f>IF(L158&gt;=설정!$B$42,"●","")</f>
        <v/>
      </c>
      <c r="N158" s="17">
        <f>IF(M158="●",L158,0)</f>
        <v/>
      </c>
      <c r="O158" s="17">
        <f>IF(N158&gt;0,N158/설정!$B$44,0)</f>
        <v/>
      </c>
    </row>
    <row r="159">
      <c r="A159" s="15">
        <f>계산과정!A159</f>
        <v/>
      </c>
      <c r="B159" s="11">
        <f>계산과정!V159</f>
        <v/>
      </c>
      <c r="C159" s="12">
        <f>계산과정!W159</f>
        <v/>
      </c>
      <c r="D159" s="18">
        <f>계산과정!U159</f>
        <v/>
      </c>
      <c r="E159" s="18">
        <f>D159*C159</f>
        <v/>
      </c>
      <c r="F159" s="17">
        <f>원데이터!N159</f>
        <v/>
      </c>
      <c r="G159" s="17">
        <f>L158</f>
        <v/>
      </c>
      <c r="H159" s="17">
        <f>MAX(F159-G159, 0)</f>
        <v/>
      </c>
      <c r="I159" s="17">
        <f>MAX(G159-F159, 0)</f>
        <v/>
      </c>
      <c r="J159" s="18">
        <f>IF(I159&lt;=설정!$B$42, 1, (설정!$B$41-I159)/(설정!$B$41-설정!$B$42))</f>
        <v/>
      </c>
      <c r="K159" s="18">
        <f>J159*E159</f>
        <v/>
      </c>
      <c r="L159" s="17">
        <f>MIN(I159+K159, 설정!$B$41)</f>
        <v/>
      </c>
      <c r="M159" s="8">
        <f>IF(L159&gt;=설정!$B$42,"●","")</f>
        <v/>
      </c>
      <c r="N159" s="17">
        <f>IF(M159="●",L159,0)</f>
        <v/>
      </c>
      <c r="O159" s="17">
        <f>IF(N159&gt;0,N159/설정!$B$44,0)</f>
        <v/>
      </c>
    </row>
    <row r="160">
      <c r="A160" s="15">
        <f>계산과정!A160</f>
        <v/>
      </c>
      <c r="B160" s="11">
        <f>계산과정!V160</f>
        <v/>
      </c>
      <c r="C160" s="12">
        <f>계산과정!W160</f>
        <v/>
      </c>
      <c r="D160" s="18">
        <f>계산과정!U160</f>
        <v/>
      </c>
      <c r="E160" s="18">
        <f>D160*C160</f>
        <v/>
      </c>
      <c r="F160" s="17">
        <f>원데이터!N160</f>
        <v/>
      </c>
      <c r="G160" s="17">
        <f>L159</f>
        <v/>
      </c>
      <c r="H160" s="17">
        <f>MAX(F160-G160, 0)</f>
        <v/>
      </c>
      <c r="I160" s="17">
        <f>MAX(G160-F160, 0)</f>
        <v/>
      </c>
      <c r="J160" s="18">
        <f>IF(I160&lt;=설정!$B$42, 1, (설정!$B$41-I160)/(설정!$B$41-설정!$B$42))</f>
        <v/>
      </c>
      <c r="K160" s="18">
        <f>J160*E160</f>
        <v/>
      </c>
      <c r="L160" s="17">
        <f>MIN(I160+K160, 설정!$B$41)</f>
        <v/>
      </c>
      <c r="M160" s="8">
        <f>IF(L160&gt;=설정!$B$42,"●","")</f>
        <v/>
      </c>
      <c r="N160" s="17">
        <f>IF(M160="●",L160,0)</f>
        <v/>
      </c>
      <c r="O160" s="17">
        <f>IF(N160&gt;0,N160/설정!$B$44,0)</f>
        <v/>
      </c>
    </row>
    <row r="161">
      <c r="A161" s="15">
        <f>계산과정!A161</f>
        <v/>
      </c>
      <c r="B161" s="11">
        <f>계산과정!V161</f>
        <v/>
      </c>
      <c r="C161" s="12">
        <f>계산과정!W161</f>
        <v/>
      </c>
      <c r="D161" s="18">
        <f>계산과정!U161</f>
        <v/>
      </c>
      <c r="E161" s="18">
        <f>D161*C161</f>
        <v/>
      </c>
      <c r="F161" s="17">
        <f>원데이터!N161</f>
        <v/>
      </c>
      <c r="G161" s="17">
        <f>L160</f>
        <v/>
      </c>
      <c r="H161" s="17">
        <f>MAX(F161-G161, 0)</f>
        <v/>
      </c>
      <c r="I161" s="17">
        <f>MAX(G161-F161, 0)</f>
        <v/>
      </c>
      <c r="J161" s="18">
        <f>IF(I161&lt;=설정!$B$42, 1, (설정!$B$41-I161)/(설정!$B$41-설정!$B$42))</f>
        <v/>
      </c>
      <c r="K161" s="18">
        <f>J161*E161</f>
        <v/>
      </c>
      <c r="L161" s="17">
        <f>MIN(I161+K161, 설정!$B$41)</f>
        <v/>
      </c>
      <c r="M161" s="8">
        <f>IF(L161&gt;=설정!$B$42,"●","")</f>
        <v/>
      </c>
      <c r="N161" s="17">
        <f>IF(M161="●",L161,0)</f>
        <v/>
      </c>
      <c r="O161" s="17">
        <f>IF(N161&gt;0,N161/설정!$B$44,0)</f>
        <v/>
      </c>
    </row>
    <row r="162">
      <c r="A162" s="15">
        <f>계산과정!A162</f>
        <v/>
      </c>
      <c r="B162" s="11">
        <f>계산과정!V162</f>
        <v/>
      </c>
      <c r="C162" s="12">
        <f>계산과정!W162</f>
        <v/>
      </c>
      <c r="D162" s="18">
        <f>계산과정!U162</f>
        <v/>
      </c>
      <c r="E162" s="18">
        <f>D162*C162</f>
        <v/>
      </c>
      <c r="F162" s="17">
        <f>원데이터!N162</f>
        <v/>
      </c>
      <c r="G162" s="17">
        <f>L161</f>
        <v/>
      </c>
      <c r="H162" s="17">
        <f>MAX(F162-G162, 0)</f>
        <v/>
      </c>
      <c r="I162" s="17">
        <f>MAX(G162-F162, 0)</f>
        <v/>
      </c>
      <c r="J162" s="18">
        <f>IF(I162&lt;=설정!$B$42, 1, (설정!$B$41-I162)/(설정!$B$41-설정!$B$42))</f>
        <v/>
      </c>
      <c r="K162" s="18">
        <f>J162*E162</f>
        <v/>
      </c>
      <c r="L162" s="17">
        <f>MIN(I162+K162, 설정!$B$41)</f>
        <v/>
      </c>
      <c r="M162" s="8">
        <f>IF(L162&gt;=설정!$B$42,"●","")</f>
        <v/>
      </c>
      <c r="N162" s="17">
        <f>IF(M162="●",L162,0)</f>
        <v/>
      </c>
      <c r="O162" s="17">
        <f>IF(N162&gt;0,N162/설정!$B$44,0)</f>
        <v/>
      </c>
    </row>
    <row r="163">
      <c r="A163" s="15">
        <f>계산과정!A163</f>
        <v/>
      </c>
      <c r="B163" s="11">
        <f>계산과정!V163</f>
        <v/>
      </c>
      <c r="C163" s="12">
        <f>계산과정!W163</f>
        <v/>
      </c>
      <c r="D163" s="18">
        <f>계산과정!U163</f>
        <v/>
      </c>
      <c r="E163" s="18">
        <f>D163*C163</f>
        <v/>
      </c>
      <c r="F163" s="17">
        <f>원데이터!N163</f>
        <v/>
      </c>
      <c r="G163" s="17">
        <f>L162</f>
        <v/>
      </c>
      <c r="H163" s="17">
        <f>MAX(F163-G163, 0)</f>
        <v/>
      </c>
      <c r="I163" s="17">
        <f>MAX(G163-F163, 0)</f>
        <v/>
      </c>
      <c r="J163" s="18">
        <f>IF(I163&lt;=설정!$B$42, 1, (설정!$B$41-I163)/(설정!$B$41-설정!$B$42))</f>
        <v/>
      </c>
      <c r="K163" s="18">
        <f>J163*E163</f>
        <v/>
      </c>
      <c r="L163" s="17">
        <f>MIN(I163+K163, 설정!$B$41)</f>
        <v/>
      </c>
      <c r="M163" s="8">
        <f>IF(L163&gt;=설정!$B$42,"●","")</f>
        <v/>
      </c>
      <c r="N163" s="17">
        <f>IF(M163="●",L163,0)</f>
        <v/>
      </c>
      <c r="O163" s="17">
        <f>IF(N163&gt;0,N163/설정!$B$44,0)</f>
        <v/>
      </c>
    </row>
    <row r="164">
      <c r="A164" s="15">
        <f>계산과정!A164</f>
        <v/>
      </c>
      <c r="B164" s="11">
        <f>계산과정!V164</f>
        <v/>
      </c>
      <c r="C164" s="12">
        <f>계산과정!W164</f>
        <v/>
      </c>
      <c r="D164" s="18">
        <f>계산과정!U164</f>
        <v/>
      </c>
      <c r="E164" s="18">
        <f>D164*C164</f>
        <v/>
      </c>
      <c r="F164" s="17">
        <f>원데이터!N164</f>
        <v/>
      </c>
      <c r="G164" s="17">
        <f>L163</f>
        <v/>
      </c>
      <c r="H164" s="17">
        <f>MAX(F164-G164, 0)</f>
        <v/>
      </c>
      <c r="I164" s="17">
        <f>MAX(G164-F164, 0)</f>
        <v/>
      </c>
      <c r="J164" s="18">
        <f>IF(I164&lt;=설정!$B$42, 1, (설정!$B$41-I164)/(설정!$B$41-설정!$B$42))</f>
        <v/>
      </c>
      <c r="K164" s="18">
        <f>J164*E164</f>
        <v/>
      </c>
      <c r="L164" s="17">
        <f>MIN(I164+K164, 설정!$B$41)</f>
        <v/>
      </c>
      <c r="M164" s="8">
        <f>IF(L164&gt;=설정!$B$42,"●","")</f>
        <v/>
      </c>
      <c r="N164" s="17">
        <f>IF(M164="●",L164,0)</f>
        <v/>
      </c>
      <c r="O164" s="17">
        <f>IF(N164&gt;0,N164/설정!$B$44,0)</f>
        <v/>
      </c>
    </row>
    <row r="165">
      <c r="A165" s="15">
        <f>계산과정!A165</f>
        <v/>
      </c>
      <c r="B165" s="11">
        <f>계산과정!V165</f>
        <v/>
      </c>
      <c r="C165" s="12">
        <f>계산과정!W165</f>
        <v/>
      </c>
      <c r="D165" s="18">
        <f>계산과정!U165</f>
        <v/>
      </c>
      <c r="E165" s="18">
        <f>D165*C165</f>
        <v/>
      </c>
      <c r="F165" s="17">
        <f>원데이터!N165</f>
        <v/>
      </c>
      <c r="G165" s="17">
        <f>L164</f>
        <v/>
      </c>
      <c r="H165" s="17">
        <f>MAX(F165-G165, 0)</f>
        <v/>
      </c>
      <c r="I165" s="17">
        <f>MAX(G165-F165, 0)</f>
        <v/>
      </c>
      <c r="J165" s="18">
        <f>IF(I165&lt;=설정!$B$42, 1, (설정!$B$41-I165)/(설정!$B$41-설정!$B$42))</f>
        <v/>
      </c>
      <c r="K165" s="18">
        <f>J165*E165</f>
        <v/>
      </c>
      <c r="L165" s="17">
        <f>MIN(I165+K165, 설정!$B$41)</f>
        <v/>
      </c>
      <c r="M165" s="8">
        <f>IF(L165&gt;=설정!$B$42,"●","")</f>
        <v/>
      </c>
      <c r="N165" s="17">
        <f>IF(M165="●",L165,0)</f>
        <v/>
      </c>
      <c r="O165" s="17">
        <f>IF(N165&gt;0,N165/설정!$B$44,0)</f>
        <v/>
      </c>
    </row>
    <row r="166">
      <c r="A166" s="15">
        <f>계산과정!A166</f>
        <v/>
      </c>
      <c r="B166" s="11">
        <f>계산과정!V166</f>
        <v/>
      </c>
      <c r="C166" s="12">
        <f>계산과정!W166</f>
        <v/>
      </c>
      <c r="D166" s="18">
        <f>계산과정!U166</f>
        <v/>
      </c>
      <c r="E166" s="18">
        <f>D166*C166</f>
        <v/>
      </c>
      <c r="F166" s="17">
        <f>원데이터!N166</f>
        <v/>
      </c>
      <c r="G166" s="17">
        <f>L165</f>
        <v/>
      </c>
      <c r="H166" s="17">
        <f>MAX(F166-G166, 0)</f>
        <v/>
      </c>
      <c r="I166" s="17">
        <f>MAX(G166-F166, 0)</f>
        <v/>
      </c>
      <c r="J166" s="18">
        <f>IF(I166&lt;=설정!$B$42, 1, (설정!$B$41-I166)/(설정!$B$41-설정!$B$42))</f>
        <v/>
      </c>
      <c r="K166" s="18">
        <f>J166*E166</f>
        <v/>
      </c>
      <c r="L166" s="17">
        <f>MIN(I166+K166, 설정!$B$41)</f>
        <v/>
      </c>
      <c r="M166" s="8">
        <f>IF(L166&gt;=설정!$B$42,"●","")</f>
        <v/>
      </c>
      <c r="N166" s="17">
        <f>IF(M166="●",L166,0)</f>
        <v/>
      </c>
      <c r="O166" s="17">
        <f>IF(N166&gt;0,N166/설정!$B$44,0)</f>
        <v/>
      </c>
    </row>
    <row r="167">
      <c r="A167" s="15">
        <f>계산과정!A167</f>
        <v/>
      </c>
      <c r="B167" s="11">
        <f>계산과정!V167</f>
        <v/>
      </c>
      <c r="C167" s="12">
        <f>계산과정!W167</f>
        <v/>
      </c>
      <c r="D167" s="18">
        <f>계산과정!U167</f>
        <v/>
      </c>
      <c r="E167" s="18">
        <f>D167*C167</f>
        <v/>
      </c>
      <c r="F167" s="17">
        <f>원데이터!N167</f>
        <v/>
      </c>
      <c r="G167" s="17">
        <f>L166</f>
        <v/>
      </c>
      <c r="H167" s="17">
        <f>MAX(F167-G167, 0)</f>
        <v/>
      </c>
      <c r="I167" s="17">
        <f>MAX(G167-F167, 0)</f>
        <v/>
      </c>
      <c r="J167" s="18">
        <f>IF(I167&lt;=설정!$B$42, 1, (설정!$B$41-I167)/(설정!$B$41-설정!$B$42))</f>
        <v/>
      </c>
      <c r="K167" s="18">
        <f>J167*E167</f>
        <v/>
      </c>
      <c r="L167" s="17">
        <f>MIN(I167+K167, 설정!$B$41)</f>
        <v/>
      </c>
      <c r="M167" s="8">
        <f>IF(L167&gt;=설정!$B$42,"●","")</f>
        <v/>
      </c>
      <c r="N167" s="17">
        <f>IF(M167="●",L167,0)</f>
        <v/>
      </c>
      <c r="O167" s="17">
        <f>IF(N167&gt;0,N167/설정!$B$44,0)</f>
        <v/>
      </c>
    </row>
    <row r="168">
      <c r="A168" s="15">
        <f>계산과정!A168</f>
        <v/>
      </c>
      <c r="B168" s="11">
        <f>계산과정!V168</f>
        <v/>
      </c>
      <c r="C168" s="12">
        <f>계산과정!W168</f>
        <v/>
      </c>
      <c r="D168" s="18">
        <f>계산과정!U168</f>
        <v/>
      </c>
      <c r="E168" s="18">
        <f>D168*C168</f>
        <v/>
      </c>
      <c r="F168" s="17">
        <f>원데이터!N168</f>
        <v/>
      </c>
      <c r="G168" s="17">
        <f>L167</f>
        <v/>
      </c>
      <c r="H168" s="17">
        <f>MAX(F168-G168, 0)</f>
        <v/>
      </c>
      <c r="I168" s="17">
        <f>MAX(G168-F168, 0)</f>
        <v/>
      </c>
      <c r="J168" s="18">
        <f>IF(I168&lt;=설정!$B$42, 1, (설정!$B$41-I168)/(설정!$B$41-설정!$B$42))</f>
        <v/>
      </c>
      <c r="K168" s="18">
        <f>J168*E168</f>
        <v/>
      </c>
      <c r="L168" s="17">
        <f>MIN(I168+K168, 설정!$B$41)</f>
        <v/>
      </c>
      <c r="M168" s="8">
        <f>IF(L168&gt;=설정!$B$42,"●","")</f>
        <v/>
      </c>
      <c r="N168" s="17">
        <f>IF(M168="●",L168,0)</f>
        <v/>
      </c>
      <c r="O168" s="17">
        <f>IF(N168&gt;0,N168/설정!$B$44,0)</f>
        <v/>
      </c>
    </row>
    <row r="169">
      <c r="A169" s="15">
        <f>계산과정!A169</f>
        <v/>
      </c>
      <c r="B169" s="11">
        <f>계산과정!V169</f>
        <v/>
      </c>
      <c r="C169" s="12">
        <f>계산과정!W169</f>
        <v/>
      </c>
      <c r="D169" s="18">
        <f>계산과정!U169</f>
        <v/>
      </c>
      <c r="E169" s="18">
        <f>D169*C169</f>
        <v/>
      </c>
      <c r="F169" s="17">
        <f>원데이터!N169</f>
        <v/>
      </c>
      <c r="G169" s="17">
        <f>L168</f>
        <v/>
      </c>
      <c r="H169" s="17">
        <f>MAX(F169-G169, 0)</f>
        <v/>
      </c>
      <c r="I169" s="17">
        <f>MAX(G169-F169, 0)</f>
        <v/>
      </c>
      <c r="J169" s="18">
        <f>IF(I169&lt;=설정!$B$42, 1, (설정!$B$41-I169)/(설정!$B$41-설정!$B$42))</f>
        <v/>
      </c>
      <c r="K169" s="18">
        <f>J169*E169</f>
        <v/>
      </c>
      <c r="L169" s="17">
        <f>MIN(I169+K169, 설정!$B$41)</f>
        <v/>
      </c>
      <c r="M169" s="8">
        <f>IF(L169&gt;=설정!$B$42,"●","")</f>
        <v/>
      </c>
      <c r="N169" s="17">
        <f>IF(M169="●",L169,0)</f>
        <v/>
      </c>
      <c r="O169" s="17">
        <f>IF(N169&gt;0,N169/설정!$B$44,0)</f>
        <v/>
      </c>
    </row>
    <row r="170">
      <c r="A170" s="15">
        <f>계산과정!A170</f>
        <v/>
      </c>
      <c r="B170" s="11">
        <f>계산과정!V170</f>
        <v/>
      </c>
      <c r="C170" s="12">
        <f>계산과정!W170</f>
        <v/>
      </c>
      <c r="D170" s="18">
        <f>계산과정!U170</f>
        <v/>
      </c>
      <c r="E170" s="18">
        <f>D170*C170</f>
        <v/>
      </c>
      <c r="F170" s="17">
        <f>원데이터!N170</f>
        <v/>
      </c>
      <c r="G170" s="17">
        <f>L169</f>
        <v/>
      </c>
      <c r="H170" s="17">
        <f>MAX(F170-G170, 0)</f>
        <v/>
      </c>
      <c r="I170" s="17">
        <f>MAX(G170-F170, 0)</f>
        <v/>
      </c>
      <c r="J170" s="18">
        <f>IF(I170&lt;=설정!$B$42, 1, (설정!$B$41-I170)/(설정!$B$41-설정!$B$42))</f>
        <v/>
      </c>
      <c r="K170" s="18">
        <f>J170*E170</f>
        <v/>
      </c>
      <c r="L170" s="17">
        <f>MIN(I170+K170, 설정!$B$41)</f>
        <v/>
      </c>
      <c r="M170" s="8">
        <f>IF(L170&gt;=설정!$B$42,"●","")</f>
        <v/>
      </c>
      <c r="N170" s="17">
        <f>IF(M170="●",L170,0)</f>
        <v/>
      </c>
      <c r="O170" s="17">
        <f>IF(N170&gt;0,N170/설정!$B$44,0)</f>
        <v/>
      </c>
    </row>
    <row r="171">
      <c r="A171" s="15">
        <f>계산과정!A171</f>
        <v/>
      </c>
      <c r="B171" s="11">
        <f>계산과정!V171</f>
        <v/>
      </c>
      <c r="C171" s="12">
        <f>계산과정!W171</f>
        <v/>
      </c>
      <c r="D171" s="18">
        <f>계산과정!U171</f>
        <v/>
      </c>
      <c r="E171" s="18">
        <f>D171*C171</f>
        <v/>
      </c>
      <c r="F171" s="17">
        <f>원데이터!N171</f>
        <v/>
      </c>
      <c r="G171" s="17">
        <f>L170</f>
        <v/>
      </c>
      <c r="H171" s="17">
        <f>MAX(F171-G171, 0)</f>
        <v/>
      </c>
      <c r="I171" s="17">
        <f>MAX(G171-F171, 0)</f>
        <v/>
      </c>
      <c r="J171" s="18">
        <f>IF(I171&lt;=설정!$B$42, 1, (설정!$B$41-I171)/(설정!$B$41-설정!$B$42))</f>
        <v/>
      </c>
      <c r="K171" s="18">
        <f>J171*E171</f>
        <v/>
      </c>
      <c r="L171" s="17">
        <f>MIN(I171+K171, 설정!$B$41)</f>
        <v/>
      </c>
      <c r="M171" s="8">
        <f>IF(L171&gt;=설정!$B$42,"●","")</f>
        <v/>
      </c>
      <c r="N171" s="17">
        <f>IF(M171="●",L171,0)</f>
        <v/>
      </c>
      <c r="O171" s="17">
        <f>IF(N171&gt;0,N171/설정!$B$44,0)</f>
        <v/>
      </c>
    </row>
    <row r="172">
      <c r="A172" s="15">
        <f>계산과정!A172</f>
        <v/>
      </c>
      <c r="B172" s="11">
        <f>계산과정!V172</f>
        <v/>
      </c>
      <c r="C172" s="12">
        <f>계산과정!W172</f>
        <v/>
      </c>
      <c r="D172" s="18">
        <f>계산과정!U172</f>
        <v/>
      </c>
      <c r="E172" s="18">
        <f>D172*C172</f>
        <v/>
      </c>
      <c r="F172" s="17">
        <f>원데이터!N172</f>
        <v/>
      </c>
      <c r="G172" s="17">
        <f>L171</f>
        <v/>
      </c>
      <c r="H172" s="17">
        <f>MAX(F172-G172, 0)</f>
        <v/>
      </c>
      <c r="I172" s="17">
        <f>MAX(G172-F172, 0)</f>
        <v/>
      </c>
      <c r="J172" s="18">
        <f>IF(I172&lt;=설정!$B$42, 1, (설정!$B$41-I172)/(설정!$B$41-설정!$B$42))</f>
        <v/>
      </c>
      <c r="K172" s="18">
        <f>J172*E172</f>
        <v/>
      </c>
      <c r="L172" s="17">
        <f>MIN(I172+K172, 설정!$B$41)</f>
        <v/>
      </c>
      <c r="M172" s="8">
        <f>IF(L172&gt;=설정!$B$42,"●","")</f>
        <v/>
      </c>
      <c r="N172" s="17">
        <f>IF(M172="●",L172,0)</f>
        <v/>
      </c>
      <c r="O172" s="17">
        <f>IF(N172&gt;0,N172/설정!$B$44,0)</f>
        <v/>
      </c>
    </row>
    <row r="173">
      <c r="A173" s="15">
        <f>계산과정!A173</f>
        <v/>
      </c>
      <c r="B173" s="11">
        <f>계산과정!V173</f>
        <v/>
      </c>
      <c r="C173" s="12">
        <f>계산과정!W173</f>
        <v/>
      </c>
      <c r="D173" s="18">
        <f>계산과정!U173</f>
        <v/>
      </c>
      <c r="E173" s="18">
        <f>D173*C173</f>
        <v/>
      </c>
      <c r="F173" s="17">
        <f>원데이터!N173</f>
        <v/>
      </c>
      <c r="G173" s="17">
        <f>L172</f>
        <v/>
      </c>
      <c r="H173" s="17">
        <f>MAX(F173-G173, 0)</f>
        <v/>
      </c>
      <c r="I173" s="17">
        <f>MAX(G173-F173, 0)</f>
        <v/>
      </c>
      <c r="J173" s="18">
        <f>IF(I173&lt;=설정!$B$42, 1, (설정!$B$41-I173)/(설정!$B$41-설정!$B$42))</f>
        <v/>
      </c>
      <c r="K173" s="18">
        <f>J173*E173</f>
        <v/>
      </c>
      <c r="L173" s="17">
        <f>MIN(I173+K173, 설정!$B$41)</f>
        <v/>
      </c>
      <c r="M173" s="8">
        <f>IF(L173&gt;=설정!$B$42,"●","")</f>
        <v/>
      </c>
      <c r="N173" s="17">
        <f>IF(M173="●",L173,0)</f>
        <v/>
      </c>
      <c r="O173" s="17">
        <f>IF(N173&gt;0,N173/설정!$B$44,0)</f>
        <v/>
      </c>
    </row>
    <row r="174">
      <c r="A174" s="15">
        <f>계산과정!A174</f>
        <v/>
      </c>
      <c r="B174" s="11">
        <f>계산과정!V174</f>
        <v/>
      </c>
      <c r="C174" s="12">
        <f>계산과정!W174</f>
        <v/>
      </c>
      <c r="D174" s="18">
        <f>계산과정!U174</f>
        <v/>
      </c>
      <c r="E174" s="18">
        <f>D174*C174</f>
        <v/>
      </c>
      <c r="F174" s="17">
        <f>원데이터!N174</f>
        <v/>
      </c>
      <c r="G174" s="17">
        <f>L173</f>
        <v/>
      </c>
      <c r="H174" s="17">
        <f>MAX(F174-G174, 0)</f>
        <v/>
      </c>
      <c r="I174" s="17">
        <f>MAX(G174-F174, 0)</f>
        <v/>
      </c>
      <c r="J174" s="18">
        <f>IF(I174&lt;=설정!$B$42, 1, (설정!$B$41-I174)/(설정!$B$41-설정!$B$42))</f>
        <v/>
      </c>
      <c r="K174" s="18">
        <f>J174*E174</f>
        <v/>
      </c>
      <c r="L174" s="17">
        <f>MIN(I174+K174, 설정!$B$41)</f>
        <v/>
      </c>
      <c r="M174" s="8">
        <f>IF(L174&gt;=설정!$B$42,"●","")</f>
        <v/>
      </c>
      <c r="N174" s="17">
        <f>IF(M174="●",L174,0)</f>
        <v/>
      </c>
      <c r="O174" s="17">
        <f>IF(N174&gt;0,N174/설정!$B$44,0)</f>
        <v/>
      </c>
    </row>
    <row r="175">
      <c r="A175" s="15">
        <f>계산과정!A175</f>
        <v/>
      </c>
      <c r="B175" s="11">
        <f>계산과정!V175</f>
        <v/>
      </c>
      <c r="C175" s="12">
        <f>계산과정!W175</f>
        <v/>
      </c>
      <c r="D175" s="18">
        <f>계산과정!U175</f>
        <v/>
      </c>
      <c r="E175" s="18">
        <f>D175*C175</f>
        <v/>
      </c>
      <c r="F175" s="17">
        <f>원데이터!N175</f>
        <v/>
      </c>
      <c r="G175" s="17">
        <f>L174</f>
        <v/>
      </c>
      <c r="H175" s="17">
        <f>MAX(F175-G175, 0)</f>
        <v/>
      </c>
      <c r="I175" s="17">
        <f>MAX(G175-F175, 0)</f>
        <v/>
      </c>
      <c r="J175" s="18">
        <f>IF(I175&lt;=설정!$B$42, 1, (설정!$B$41-I175)/(설정!$B$41-설정!$B$42))</f>
        <v/>
      </c>
      <c r="K175" s="18">
        <f>J175*E175</f>
        <v/>
      </c>
      <c r="L175" s="17">
        <f>MIN(I175+K175, 설정!$B$41)</f>
        <v/>
      </c>
      <c r="M175" s="8">
        <f>IF(L175&gt;=설정!$B$42,"●","")</f>
        <v/>
      </c>
      <c r="N175" s="17">
        <f>IF(M175="●",L175,0)</f>
        <v/>
      </c>
      <c r="O175" s="17">
        <f>IF(N175&gt;0,N175/설정!$B$44,0)</f>
        <v/>
      </c>
    </row>
    <row r="176">
      <c r="A176" s="15">
        <f>계산과정!A176</f>
        <v/>
      </c>
      <c r="B176" s="11">
        <f>계산과정!V176</f>
        <v/>
      </c>
      <c r="C176" s="12">
        <f>계산과정!W176</f>
        <v/>
      </c>
      <c r="D176" s="18">
        <f>계산과정!U176</f>
        <v/>
      </c>
      <c r="E176" s="18">
        <f>D176*C176</f>
        <v/>
      </c>
      <c r="F176" s="17">
        <f>원데이터!N176</f>
        <v/>
      </c>
      <c r="G176" s="17">
        <f>L175</f>
        <v/>
      </c>
      <c r="H176" s="17">
        <f>MAX(F176-G176, 0)</f>
        <v/>
      </c>
      <c r="I176" s="17">
        <f>MAX(G176-F176, 0)</f>
        <v/>
      </c>
      <c r="J176" s="18">
        <f>IF(I176&lt;=설정!$B$42, 1, (설정!$B$41-I176)/(설정!$B$41-설정!$B$42))</f>
        <v/>
      </c>
      <c r="K176" s="18">
        <f>J176*E176</f>
        <v/>
      </c>
      <c r="L176" s="17">
        <f>MIN(I176+K176, 설정!$B$41)</f>
        <v/>
      </c>
      <c r="M176" s="8">
        <f>IF(L176&gt;=설정!$B$42,"●","")</f>
        <v/>
      </c>
      <c r="N176" s="17">
        <f>IF(M176="●",L176,0)</f>
        <v/>
      </c>
      <c r="O176" s="17">
        <f>IF(N176&gt;0,N176/설정!$B$44,0)</f>
        <v/>
      </c>
    </row>
    <row r="177">
      <c r="A177" s="15">
        <f>계산과정!A177</f>
        <v/>
      </c>
      <c r="B177" s="11">
        <f>계산과정!V177</f>
        <v/>
      </c>
      <c r="C177" s="12">
        <f>계산과정!W177</f>
        <v/>
      </c>
      <c r="D177" s="18">
        <f>계산과정!U177</f>
        <v/>
      </c>
      <c r="E177" s="18">
        <f>D177*C177</f>
        <v/>
      </c>
      <c r="F177" s="17">
        <f>원데이터!N177</f>
        <v/>
      </c>
      <c r="G177" s="17">
        <f>L176</f>
        <v/>
      </c>
      <c r="H177" s="17">
        <f>MAX(F177-G177, 0)</f>
        <v/>
      </c>
      <c r="I177" s="17">
        <f>MAX(G177-F177, 0)</f>
        <v/>
      </c>
      <c r="J177" s="18">
        <f>IF(I177&lt;=설정!$B$42, 1, (설정!$B$41-I177)/(설정!$B$41-설정!$B$42))</f>
        <v/>
      </c>
      <c r="K177" s="18">
        <f>J177*E177</f>
        <v/>
      </c>
      <c r="L177" s="17">
        <f>MIN(I177+K177, 설정!$B$41)</f>
        <v/>
      </c>
      <c r="M177" s="8">
        <f>IF(L177&gt;=설정!$B$42,"●","")</f>
        <v/>
      </c>
      <c r="N177" s="17">
        <f>IF(M177="●",L177,0)</f>
        <v/>
      </c>
      <c r="O177" s="17">
        <f>IF(N177&gt;0,N177/설정!$B$44,0)</f>
        <v/>
      </c>
    </row>
    <row r="178">
      <c r="A178" s="15">
        <f>계산과정!A178</f>
        <v/>
      </c>
      <c r="B178" s="11">
        <f>계산과정!V178</f>
        <v/>
      </c>
      <c r="C178" s="12">
        <f>계산과정!W178</f>
        <v/>
      </c>
      <c r="D178" s="18">
        <f>계산과정!U178</f>
        <v/>
      </c>
      <c r="E178" s="18">
        <f>D178*C178</f>
        <v/>
      </c>
      <c r="F178" s="17">
        <f>원데이터!N178</f>
        <v/>
      </c>
      <c r="G178" s="17">
        <f>L177</f>
        <v/>
      </c>
      <c r="H178" s="17">
        <f>MAX(F178-G178, 0)</f>
        <v/>
      </c>
      <c r="I178" s="17">
        <f>MAX(G178-F178, 0)</f>
        <v/>
      </c>
      <c r="J178" s="18">
        <f>IF(I178&lt;=설정!$B$42, 1, (설정!$B$41-I178)/(설정!$B$41-설정!$B$42))</f>
        <v/>
      </c>
      <c r="K178" s="18">
        <f>J178*E178</f>
        <v/>
      </c>
      <c r="L178" s="17">
        <f>MIN(I178+K178, 설정!$B$41)</f>
        <v/>
      </c>
      <c r="M178" s="8">
        <f>IF(L178&gt;=설정!$B$42,"●","")</f>
        <v/>
      </c>
      <c r="N178" s="17">
        <f>IF(M178="●",L178,0)</f>
        <v/>
      </c>
      <c r="O178" s="17">
        <f>IF(N178&gt;0,N178/설정!$B$44,0)</f>
        <v/>
      </c>
    </row>
    <row r="179">
      <c r="A179" s="15">
        <f>계산과정!A179</f>
        <v/>
      </c>
      <c r="B179" s="11">
        <f>계산과정!V179</f>
        <v/>
      </c>
      <c r="C179" s="12">
        <f>계산과정!W179</f>
        <v/>
      </c>
      <c r="D179" s="18">
        <f>계산과정!U179</f>
        <v/>
      </c>
      <c r="E179" s="18">
        <f>D179*C179</f>
        <v/>
      </c>
      <c r="F179" s="17">
        <f>원데이터!N179</f>
        <v/>
      </c>
      <c r="G179" s="17">
        <f>L178</f>
        <v/>
      </c>
      <c r="H179" s="17">
        <f>MAX(F179-G179, 0)</f>
        <v/>
      </c>
      <c r="I179" s="17">
        <f>MAX(G179-F179, 0)</f>
        <v/>
      </c>
      <c r="J179" s="18">
        <f>IF(I179&lt;=설정!$B$42, 1, (설정!$B$41-I179)/(설정!$B$41-설정!$B$42))</f>
        <v/>
      </c>
      <c r="K179" s="18">
        <f>J179*E179</f>
        <v/>
      </c>
      <c r="L179" s="17">
        <f>MIN(I179+K179, 설정!$B$41)</f>
        <v/>
      </c>
      <c r="M179" s="8">
        <f>IF(L179&gt;=설정!$B$42,"●","")</f>
        <v/>
      </c>
      <c r="N179" s="17">
        <f>IF(M179="●",L179,0)</f>
        <v/>
      </c>
      <c r="O179" s="17">
        <f>IF(N179&gt;0,N179/설정!$B$44,0)</f>
        <v/>
      </c>
    </row>
    <row r="180">
      <c r="A180" s="15">
        <f>계산과정!A180</f>
        <v/>
      </c>
      <c r="B180" s="11">
        <f>계산과정!V180</f>
        <v/>
      </c>
      <c r="C180" s="12">
        <f>계산과정!W180</f>
        <v/>
      </c>
      <c r="D180" s="18">
        <f>계산과정!U180</f>
        <v/>
      </c>
      <c r="E180" s="18">
        <f>D180*C180</f>
        <v/>
      </c>
      <c r="F180" s="17">
        <f>원데이터!N180</f>
        <v/>
      </c>
      <c r="G180" s="17">
        <f>L179</f>
        <v/>
      </c>
      <c r="H180" s="17">
        <f>MAX(F180-G180, 0)</f>
        <v/>
      </c>
      <c r="I180" s="17">
        <f>MAX(G180-F180, 0)</f>
        <v/>
      </c>
      <c r="J180" s="18">
        <f>IF(I180&lt;=설정!$B$42, 1, (설정!$B$41-I180)/(설정!$B$41-설정!$B$42))</f>
        <v/>
      </c>
      <c r="K180" s="18">
        <f>J180*E180</f>
        <v/>
      </c>
      <c r="L180" s="17">
        <f>MIN(I180+K180, 설정!$B$41)</f>
        <v/>
      </c>
      <c r="M180" s="8">
        <f>IF(L180&gt;=설정!$B$42,"●","")</f>
        <v/>
      </c>
      <c r="N180" s="17">
        <f>IF(M180="●",L180,0)</f>
        <v/>
      </c>
      <c r="O180" s="17">
        <f>IF(N180&gt;0,N180/설정!$B$44,0)</f>
        <v/>
      </c>
    </row>
    <row r="181">
      <c r="A181" s="15">
        <f>계산과정!A181</f>
        <v/>
      </c>
      <c r="B181" s="11">
        <f>계산과정!V181</f>
        <v/>
      </c>
      <c r="C181" s="12">
        <f>계산과정!W181</f>
        <v/>
      </c>
      <c r="D181" s="18">
        <f>계산과정!U181</f>
        <v/>
      </c>
      <c r="E181" s="18">
        <f>D181*C181</f>
        <v/>
      </c>
      <c r="F181" s="17">
        <f>원데이터!N181</f>
        <v/>
      </c>
      <c r="G181" s="17">
        <f>L180</f>
        <v/>
      </c>
      <c r="H181" s="17">
        <f>MAX(F181-G181, 0)</f>
        <v/>
      </c>
      <c r="I181" s="17">
        <f>MAX(G181-F181, 0)</f>
        <v/>
      </c>
      <c r="J181" s="18">
        <f>IF(I181&lt;=설정!$B$42, 1, (설정!$B$41-I181)/(설정!$B$41-설정!$B$42))</f>
        <v/>
      </c>
      <c r="K181" s="18">
        <f>J181*E181</f>
        <v/>
      </c>
      <c r="L181" s="17">
        <f>MIN(I181+K181, 설정!$B$41)</f>
        <v/>
      </c>
      <c r="M181" s="8">
        <f>IF(L181&gt;=설정!$B$42,"●","")</f>
        <v/>
      </c>
      <c r="N181" s="17">
        <f>IF(M181="●",L181,0)</f>
        <v/>
      </c>
      <c r="O181" s="17">
        <f>IF(N181&gt;0,N181/설정!$B$44,0)</f>
        <v/>
      </c>
    </row>
    <row r="182">
      <c r="A182" s="15">
        <f>계산과정!A182</f>
        <v/>
      </c>
      <c r="B182" s="11">
        <f>계산과정!V182</f>
        <v/>
      </c>
      <c r="C182" s="12">
        <f>계산과정!W182</f>
        <v/>
      </c>
      <c r="D182" s="18">
        <f>계산과정!U182</f>
        <v/>
      </c>
      <c r="E182" s="18">
        <f>D182*C182</f>
        <v/>
      </c>
      <c r="F182" s="17">
        <f>원데이터!N182</f>
        <v/>
      </c>
      <c r="G182" s="17">
        <f>L181</f>
        <v/>
      </c>
      <c r="H182" s="17">
        <f>MAX(F182-G182, 0)</f>
        <v/>
      </c>
      <c r="I182" s="17">
        <f>MAX(G182-F182, 0)</f>
        <v/>
      </c>
      <c r="J182" s="18">
        <f>IF(I182&lt;=설정!$B$42, 1, (설정!$B$41-I182)/(설정!$B$41-설정!$B$42))</f>
        <v/>
      </c>
      <c r="K182" s="18">
        <f>J182*E182</f>
        <v/>
      </c>
      <c r="L182" s="17">
        <f>MIN(I182+K182, 설정!$B$41)</f>
        <v/>
      </c>
      <c r="M182" s="8">
        <f>IF(L182&gt;=설정!$B$42,"●","")</f>
        <v/>
      </c>
      <c r="N182" s="17">
        <f>IF(M182="●",L182,0)</f>
        <v/>
      </c>
      <c r="O182" s="17">
        <f>IF(N182&gt;0,N182/설정!$B$44,0)</f>
        <v/>
      </c>
    </row>
    <row r="183">
      <c r="A183" s="15">
        <f>계산과정!A183</f>
        <v/>
      </c>
      <c r="B183" s="11">
        <f>계산과정!V183</f>
        <v/>
      </c>
      <c r="C183" s="12">
        <f>계산과정!W183</f>
        <v/>
      </c>
      <c r="D183" s="18">
        <f>계산과정!U183</f>
        <v/>
      </c>
      <c r="E183" s="18">
        <f>D183*C183</f>
        <v/>
      </c>
      <c r="F183" s="17">
        <f>원데이터!N183</f>
        <v/>
      </c>
      <c r="G183" s="17">
        <f>L182</f>
        <v/>
      </c>
      <c r="H183" s="17">
        <f>MAX(F183-G183, 0)</f>
        <v/>
      </c>
      <c r="I183" s="17">
        <f>MAX(G183-F183, 0)</f>
        <v/>
      </c>
      <c r="J183" s="18">
        <f>IF(I183&lt;=설정!$B$42, 1, (설정!$B$41-I183)/(설정!$B$41-설정!$B$42))</f>
        <v/>
      </c>
      <c r="K183" s="18">
        <f>J183*E183</f>
        <v/>
      </c>
      <c r="L183" s="17">
        <f>MIN(I183+K183, 설정!$B$41)</f>
        <v/>
      </c>
      <c r="M183" s="8">
        <f>IF(L183&gt;=설정!$B$42,"●","")</f>
        <v/>
      </c>
      <c r="N183" s="17">
        <f>IF(M183="●",L183,0)</f>
        <v/>
      </c>
      <c r="O183" s="17">
        <f>IF(N183&gt;0,N183/설정!$B$44,0)</f>
        <v/>
      </c>
    </row>
    <row r="184">
      <c r="A184" s="15">
        <f>계산과정!A184</f>
        <v/>
      </c>
      <c r="B184" s="11">
        <f>계산과정!V184</f>
        <v/>
      </c>
      <c r="C184" s="12">
        <f>계산과정!W184</f>
        <v/>
      </c>
      <c r="D184" s="18">
        <f>계산과정!U184</f>
        <v/>
      </c>
      <c r="E184" s="18">
        <f>D184*C184</f>
        <v/>
      </c>
      <c r="F184" s="17">
        <f>원데이터!N184</f>
        <v/>
      </c>
      <c r="G184" s="17">
        <f>L183</f>
        <v/>
      </c>
      <c r="H184" s="17">
        <f>MAX(F184-G184, 0)</f>
        <v/>
      </c>
      <c r="I184" s="17">
        <f>MAX(G184-F184, 0)</f>
        <v/>
      </c>
      <c r="J184" s="18">
        <f>IF(I184&lt;=설정!$B$42, 1, (설정!$B$41-I184)/(설정!$B$41-설정!$B$42))</f>
        <v/>
      </c>
      <c r="K184" s="18">
        <f>J184*E184</f>
        <v/>
      </c>
      <c r="L184" s="17">
        <f>MIN(I184+K184, 설정!$B$41)</f>
        <v/>
      </c>
      <c r="M184" s="8">
        <f>IF(L184&gt;=설정!$B$42,"●","")</f>
        <v/>
      </c>
      <c r="N184" s="17">
        <f>IF(M184="●",L184,0)</f>
        <v/>
      </c>
      <c r="O184" s="17">
        <f>IF(N184&gt;0,N184/설정!$B$44,0)</f>
        <v/>
      </c>
    </row>
    <row r="185">
      <c r="A185" s="15">
        <f>계산과정!A185</f>
        <v/>
      </c>
      <c r="B185" s="11">
        <f>계산과정!V185</f>
        <v/>
      </c>
      <c r="C185" s="12">
        <f>계산과정!W185</f>
        <v/>
      </c>
      <c r="D185" s="18">
        <f>계산과정!U185</f>
        <v/>
      </c>
      <c r="E185" s="18">
        <f>D185*C185</f>
        <v/>
      </c>
      <c r="F185" s="17">
        <f>원데이터!N185</f>
        <v/>
      </c>
      <c r="G185" s="17">
        <f>L184</f>
        <v/>
      </c>
      <c r="H185" s="17">
        <f>MAX(F185-G185, 0)</f>
        <v/>
      </c>
      <c r="I185" s="17">
        <f>MAX(G185-F185, 0)</f>
        <v/>
      </c>
      <c r="J185" s="18">
        <f>IF(I185&lt;=설정!$B$42, 1, (설정!$B$41-I185)/(설정!$B$41-설정!$B$42))</f>
        <v/>
      </c>
      <c r="K185" s="18">
        <f>J185*E185</f>
        <v/>
      </c>
      <c r="L185" s="17">
        <f>MIN(I185+K185, 설정!$B$41)</f>
        <v/>
      </c>
      <c r="M185" s="8">
        <f>IF(L185&gt;=설정!$B$42,"●","")</f>
        <v/>
      </c>
      <c r="N185" s="17">
        <f>IF(M185="●",L185,0)</f>
        <v/>
      </c>
      <c r="O185" s="17">
        <f>IF(N185&gt;0,N185/설정!$B$44,0)</f>
        <v/>
      </c>
    </row>
    <row r="186">
      <c r="A186" s="15">
        <f>계산과정!A186</f>
        <v/>
      </c>
      <c r="B186" s="11">
        <f>계산과정!V186</f>
        <v/>
      </c>
      <c r="C186" s="12">
        <f>계산과정!W186</f>
        <v/>
      </c>
      <c r="D186" s="18">
        <f>계산과정!U186</f>
        <v/>
      </c>
      <c r="E186" s="18">
        <f>D186*C186</f>
        <v/>
      </c>
      <c r="F186" s="17">
        <f>원데이터!N186</f>
        <v/>
      </c>
      <c r="G186" s="17">
        <f>L185</f>
        <v/>
      </c>
      <c r="H186" s="17">
        <f>MAX(F186-G186, 0)</f>
        <v/>
      </c>
      <c r="I186" s="17">
        <f>MAX(G186-F186, 0)</f>
        <v/>
      </c>
      <c r="J186" s="18">
        <f>IF(I186&lt;=설정!$B$42, 1, (설정!$B$41-I186)/(설정!$B$41-설정!$B$42))</f>
        <v/>
      </c>
      <c r="K186" s="18">
        <f>J186*E186</f>
        <v/>
      </c>
      <c r="L186" s="17">
        <f>MIN(I186+K186, 설정!$B$41)</f>
        <v/>
      </c>
      <c r="M186" s="8">
        <f>IF(L186&gt;=설정!$B$42,"●","")</f>
        <v/>
      </c>
      <c r="N186" s="17">
        <f>IF(M186="●",L186,0)</f>
        <v/>
      </c>
      <c r="O186" s="17">
        <f>IF(N186&gt;0,N186/설정!$B$44,0)</f>
        <v/>
      </c>
    </row>
    <row r="187">
      <c r="A187" s="15">
        <f>계산과정!A187</f>
        <v/>
      </c>
      <c r="B187" s="11">
        <f>계산과정!V187</f>
        <v/>
      </c>
      <c r="C187" s="12">
        <f>계산과정!W187</f>
        <v/>
      </c>
      <c r="D187" s="18">
        <f>계산과정!U187</f>
        <v/>
      </c>
      <c r="E187" s="18">
        <f>D187*C187</f>
        <v/>
      </c>
      <c r="F187" s="17">
        <f>원데이터!N187</f>
        <v/>
      </c>
      <c r="G187" s="17">
        <f>L186</f>
        <v/>
      </c>
      <c r="H187" s="17">
        <f>MAX(F187-G187, 0)</f>
        <v/>
      </c>
      <c r="I187" s="17">
        <f>MAX(G187-F187, 0)</f>
        <v/>
      </c>
      <c r="J187" s="18">
        <f>IF(I187&lt;=설정!$B$42, 1, (설정!$B$41-I187)/(설정!$B$41-설정!$B$42))</f>
        <v/>
      </c>
      <c r="K187" s="18">
        <f>J187*E187</f>
        <v/>
      </c>
      <c r="L187" s="17">
        <f>MIN(I187+K187, 설정!$B$41)</f>
        <v/>
      </c>
      <c r="M187" s="8">
        <f>IF(L187&gt;=설정!$B$42,"●","")</f>
        <v/>
      </c>
      <c r="N187" s="17">
        <f>IF(M187="●",L187,0)</f>
        <v/>
      </c>
      <c r="O187" s="17">
        <f>IF(N187&gt;0,N187/설정!$B$44,0)</f>
        <v/>
      </c>
    </row>
    <row r="188">
      <c r="A188" s="15">
        <f>계산과정!A188</f>
        <v/>
      </c>
      <c r="B188" s="11">
        <f>계산과정!V188</f>
        <v/>
      </c>
      <c r="C188" s="12">
        <f>계산과정!W188</f>
        <v/>
      </c>
      <c r="D188" s="18">
        <f>계산과정!U188</f>
        <v/>
      </c>
      <c r="E188" s="18">
        <f>D188*C188</f>
        <v/>
      </c>
      <c r="F188" s="17">
        <f>원데이터!N188</f>
        <v/>
      </c>
      <c r="G188" s="17">
        <f>L187</f>
        <v/>
      </c>
      <c r="H188" s="17">
        <f>MAX(F188-G188, 0)</f>
        <v/>
      </c>
      <c r="I188" s="17">
        <f>MAX(G188-F188, 0)</f>
        <v/>
      </c>
      <c r="J188" s="18">
        <f>IF(I188&lt;=설정!$B$42, 1, (설정!$B$41-I188)/(설정!$B$41-설정!$B$42))</f>
        <v/>
      </c>
      <c r="K188" s="18">
        <f>J188*E188</f>
        <v/>
      </c>
      <c r="L188" s="17">
        <f>MIN(I188+K188, 설정!$B$41)</f>
        <v/>
      </c>
      <c r="M188" s="8">
        <f>IF(L188&gt;=설정!$B$42,"●","")</f>
        <v/>
      </c>
      <c r="N188" s="17">
        <f>IF(M188="●",L188,0)</f>
        <v/>
      </c>
      <c r="O188" s="17">
        <f>IF(N188&gt;0,N188/설정!$B$44,0)</f>
        <v/>
      </c>
    </row>
    <row r="189">
      <c r="A189" s="15">
        <f>계산과정!A189</f>
        <v/>
      </c>
      <c r="B189" s="11">
        <f>계산과정!V189</f>
        <v/>
      </c>
      <c r="C189" s="12">
        <f>계산과정!W189</f>
        <v/>
      </c>
      <c r="D189" s="18">
        <f>계산과정!U189</f>
        <v/>
      </c>
      <c r="E189" s="18">
        <f>D189*C189</f>
        <v/>
      </c>
      <c r="F189" s="17">
        <f>원데이터!N189</f>
        <v/>
      </c>
      <c r="G189" s="17">
        <f>L188</f>
        <v/>
      </c>
      <c r="H189" s="17">
        <f>MAX(F189-G189, 0)</f>
        <v/>
      </c>
      <c r="I189" s="17">
        <f>MAX(G189-F189, 0)</f>
        <v/>
      </c>
      <c r="J189" s="18">
        <f>IF(I189&lt;=설정!$B$42, 1, (설정!$B$41-I189)/(설정!$B$41-설정!$B$42))</f>
        <v/>
      </c>
      <c r="K189" s="18">
        <f>J189*E189</f>
        <v/>
      </c>
      <c r="L189" s="17">
        <f>MIN(I189+K189, 설정!$B$41)</f>
        <v/>
      </c>
      <c r="M189" s="8">
        <f>IF(L189&gt;=설정!$B$42,"●","")</f>
        <v/>
      </c>
      <c r="N189" s="17">
        <f>IF(M189="●",L189,0)</f>
        <v/>
      </c>
      <c r="O189" s="17">
        <f>IF(N189&gt;0,N189/설정!$B$44,0)</f>
        <v/>
      </c>
    </row>
    <row r="190">
      <c r="A190" s="15">
        <f>계산과정!A190</f>
        <v/>
      </c>
      <c r="B190" s="11">
        <f>계산과정!V190</f>
        <v/>
      </c>
      <c r="C190" s="12">
        <f>계산과정!W190</f>
        <v/>
      </c>
      <c r="D190" s="18">
        <f>계산과정!U190</f>
        <v/>
      </c>
      <c r="E190" s="18">
        <f>D190*C190</f>
        <v/>
      </c>
      <c r="F190" s="17">
        <f>원데이터!N190</f>
        <v/>
      </c>
      <c r="G190" s="17">
        <f>L189</f>
        <v/>
      </c>
      <c r="H190" s="17">
        <f>MAX(F190-G190, 0)</f>
        <v/>
      </c>
      <c r="I190" s="17">
        <f>MAX(G190-F190, 0)</f>
        <v/>
      </c>
      <c r="J190" s="18">
        <f>IF(I190&lt;=설정!$B$42, 1, (설정!$B$41-I190)/(설정!$B$41-설정!$B$42))</f>
        <v/>
      </c>
      <c r="K190" s="18">
        <f>J190*E190</f>
        <v/>
      </c>
      <c r="L190" s="17">
        <f>MIN(I190+K190, 설정!$B$41)</f>
        <v/>
      </c>
      <c r="M190" s="8">
        <f>IF(L190&gt;=설정!$B$42,"●","")</f>
        <v/>
      </c>
      <c r="N190" s="17">
        <f>IF(M190="●",L190,0)</f>
        <v/>
      </c>
      <c r="O190" s="17">
        <f>IF(N190&gt;0,N190/설정!$B$44,0)</f>
        <v/>
      </c>
    </row>
    <row r="191">
      <c r="A191" s="15">
        <f>계산과정!A191</f>
        <v/>
      </c>
      <c r="B191" s="11">
        <f>계산과정!V191</f>
        <v/>
      </c>
      <c r="C191" s="12">
        <f>계산과정!W191</f>
        <v/>
      </c>
      <c r="D191" s="18">
        <f>계산과정!U191</f>
        <v/>
      </c>
      <c r="E191" s="18">
        <f>D191*C191</f>
        <v/>
      </c>
      <c r="F191" s="17">
        <f>원데이터!N191</f>
        <v/>
      </c>
      <c r="G191" s="17">
        <f>L190</f>
        <v/>
      </c>
      <c r="H191" s="17">
        <f>MAX(F191-G191, 0)</f>
        <v/>
      </c>
      <c r="I191" s="17">
        <f>MAX(G191-F191, 0)</f>
        <v/>
      </c>
      <c r="J191" s="18">
        <f>IF(I191&lt;=설정!$B$42, 1, (설정!$B$41-I191)/(설정!$B$41-설정!$B$42))</f>
        <v/>
      </c>
      <c r="K191" s="18">
        <f>J191*E191</f>
        <v/>
      </c>
      <c r="L191" s="17">
        <f>MIN(I191+K191, 설정!$B$41)</f>
        <v/>
      </c>
      <c r="M191" s="8">
        <f>IF(L191&gt;=설정!$B$42,"●","")</f>
        <v/>
      </c>
      <c r="N191" s="17">
        <f>IF(M191="●",L191,0)</f>
        <v/>
      </c>
      <c r="O191" s="17">
        <f>IF(N191&gt;0,N191/설정!$B$44,0)</f>
        <v/>
      </c>
    </row>
    <row r="192">
      <c r="A192" s="15">
        <f>계산과정!A192</f>
        <v/>
      </c>
      <c r="B192" s="11">
        <f>계산과정!V192</f>
        <v/>
      </c>
      <c r="C192" s="12">
        <f>계산과정!W192</f>
        <v/>
      </c>
      <c r="D192" s="18">
        <f>계산과정!U192</f>
        <v/>
      </c>
      <c r="E192" s="18">
        <f>D192*C192</f>
        <v/>
      </c>
      <c r="F192" s="17">
        <f>원데이터!N192</f>
        <v/>
      </c>
      <c r="G192" s="17">
        <f>L191</f>
        <v/>
      </c>
      <c r="H192" s="17">
        <f>MAX(F192-G192, 0)</f>
        <v/>
      </c>
      <c r="I192" s="17">
        <f>MAX(G192-F192, 0)</f>
        <v/>
      </c>
      <c r="J192" s="18">
        <f>IF(I192&lt;=설정!$B$42, 1, (설정!$B$41-I192)/(설정!$B$41-설정!$B$42))</f>
        <v/>
      </c>
      <c r="K192" s="18">
        <f>J192*E192</f>
        <v/>
      </c>
      <c r="L192" s="17">
        <f>MIN(I192+K192, 설정!$B$41)</f>
        <v/>
      </c>
      <c r="M192" s="8">
        <f>IF(L192&gt;=설정!$B$42,"●","")</f>
        <v/>
      </c>
      <c r="N192" s="17">
        <f>IF(M192="●",L192,0)</f>
        <v/>
      </c>
      <c r="O192" s="17">
        <f>IF(N192&gt;0,N192/설정!$B$44,0)</f>
        <v/>
      </c>
    </row>
    <row r="193">
      <c r="A193" s="15">
        <f>계산과정!A193</f>
        <v/>
      </c>
      <c r="B193" s="11">
        <f>계산과정!V193</f>
        <v/>
      </c>
      <c r="C193" s="12">
        <f>계산과정!W193</f>
        <v/>
      </c>
      <c r="D193" s="18">
        <f>계산과정!U193</f>
        <v/>
      </c>
      <c r="E193" s="18">
        <f>D193*C193</f>
        <v/>
      </c>
      <c r="F193" s="17">
        <f>원데이터!N193</f>
        <v/>
      </c>
      <c r="G193" s="17">
        <f>L192</f>
        <v/>
      </c>
      <c r="H193" s="17">
        <f>MAX(F193-G193, 0)</f>
        <v/>
      </c>
      <c r="I193" s="17">
        <f>MAX(G193-F193, 0)</f>
        <v/>
      </c>
      <c r="J193" s="18">
        <f>IF(I193&lt;=설정!$B$42, 1, (설정!$B$41-I193)/(설정!$B$41-설정!$B$42))</f>
        <v/>
      </c>
      <c r="K193" s="18">
        <f>J193*E193</f>
        <v/>
      </c>
      <c r="L193" s="17">
        <f>MIN(I193+K193, 설정!$B$41)</f>
        <v/>
      </c>
      <c r="M193" s="8">
        <f>IF(L193&gt;=설정!$B$42,"●","")</f>
        <v/>
      </c>
      <c r="N193" s="17">
        <f>IF(M193="●",L193,0)</f>
        <v/>
      </c>
      <c r="O193" s="17">
        <f>IF(N193&gt;0,N193/설정!$B$44,0)</f>
        <v/>
      </c>
    </row>
    <row r="194">
      <c r="A194" s="15">
        <f>계산과정!A194</f>
        <v/>
      </c>
      <c r="B194" s="11">
        <f>계산과정!V194</f>
        <v/>
      </c>
      <c r="C194" s="12">
        <f>계산과정!W194</f>
        <v/>
      </c>
      <c r="D194" s="18">
        <f>계산과정!U194</f>
        <v/>
      </c>
      <c r="E194" s="18">
        <f>D194*C194</f>
        <v/>
      </c>
      <c r="F194" s="17">
        <f>원데이터!N194</f>
        <v/>
      </c>
      <c r="G194" s="17">
        <f>L193</f>
        <v/>
      </c>
      <c r="H194" s="17">
        <f>MAX(F194-G194, 0)</f>
        <v/>
      </c>
      <c r="I194" s="17">
        <f>MAX(G194-F194, 0)</f>
        <v/>
      </c>
      <c r="J194" s="18">
        <f>IF(I194&lt;=설정!$B$42, 1, (설정!$B$41-I194)/(설정!$B$41-설정!$B$42))</f>
        <v/>
      </c>
      <c r="K194" s="18">
        <f>J194*E194</f>
        <v/>
      </c>
      <c r="L194" s="17">
        <f>MIN(I194+K194, 설정!$B$41)</f>
        <v/>
      </c>
      <c r="M194" s="8">
        <f>IF(L194&gt;=설정!$B$42,"●","")</f>
        <v/>
      </c>
      <c r="N194" s="17">
        <f>IF(M194="●",L194,0)</f>
        <v/>
      </c>
      <c r="O194" s="17">
        <f>IF(N194&gt;0,N194/설정!$B$44,0)</f>
        <v/>
      </c>
    </row>
    <row r="195">
      <c r="A195" s="15">
        <f>계산과정!A195</f>
        <v/>
      </c>
      <c r="B195" s="11">
        <f>계산과정!V195</f>
        <v/>
      </c>
      <c r="C195" s="12">
        <f>계산과정!W195</f>
        <v/>
      </c>
      <c r="D195" s="18">
        <f>계산과정!U195</f>
        <v/>
      </c>
      <c r="E195" s="18">
        <f>D195*C195</f>
        <v/>
      </c>
      <c r="F195" s="17">
        <f>원데이터!N195</f>
        <v/>
      </c>
      <c r="G195" s="17">
        <f>L194</f>
        <v/>
      </c>
      <c r="H195" s="17">
        <f>MAX(F195-G195, 0)</f>
        <v/>
      </c>
      <c r="I195" s="17">
        <f>MAX(G195-F195, 0)</f>
        <v/>
      </c>
      <c r="J195" s="18">
        <f>IF(I195&lt;=설정!$B$42, 1, (설정!$B$41-I195)/(설정!$B$41-설정!$B$42))</f>
        <v/>
      </c>
      <c r="K195" s="18">
        <f>J195*E195</f>
        <v/>
      </c>
      <c r="L195" s="17">
        <f>MIN(I195+K195, 설정!$B$41)</f>
        <v/>
      </c>
      <c r="M195" s="8">
        <f>IF(L195&gt;=설정!$B$42,"●","")</f>
        <v/>
      </c>
      <c r="N195" s="17">
        <f>IF(M195="●",L195,0)</f>
        <v/>
      </c>
      <c r="O195" s="17">
        <f>IF(N195&gt;0,N195/설정!$B$44,0)</f>
        <v/>
      </c>
    </row>
    <row r="196">
      <c r="A196" s="15">
        <f>계산과정!A196</f>
        <v/>
      </c>
      <c r="B196" s="11">
        <f>계산과정!V196</f>
        <v/>
      </c>
      <c r="C196" s="12">
        <f>계산과정!W196</f>
        <v/>
      </c>
      <c r="D196" s="18">
        <f>계산과정!U196</f>
        <v/>
      </c>
      <c r="E196" s="18">
        <f>D196*C196</f>
        <v/>
      </c>
      <c r="F196" s="17">
        <f>원데이터!N196</f>
        <v/>
      </c>
      <c r="G196" s="17">
        <f>L195</f>
        <v/>
      </c>
      <c r="H196" s="17">
        <f>MAX(F196-G196, 0)</f>
        <v/>
      </c>
      <c r="I196" s="17">
        <f>MAX(G196-F196, 0)</f>
        <v/>
      </c>
      <c r="J196" s="18">
        <f>IF(I196&lt;=설정!$B$42, 1, (설정!$B$41-I196)/(설정!$B$41-설정!$B$42))</f>
        <v/>
      </c>
      <c r="K196" s="18">
        <f>J196*E196</f>
        <v/>
      </c>
      <c r="L196" s="17">
        <f>MIN(I196+K196, 설정!$B$41)</f>
        <v/>
      </c>
      <c r="M196" s="8">
        <f>IF(L196&gt;=설정!$B$42,"●","")</f>
        <v/>
      </c>
      <c r="N196" s="17">
        <f>IF(M196="●",L196,0)</f>
        <v/>
      </c>
      <c r="O196" s="17">
        <f>IF(N196&gt;0,N196/설정!$B$44,0)</f>
        <v/>
      </c>
    </row>
    <row r="197">
      <c r="A197" s="15">
        <f>계산과정!A197</f>
        <v/>
      </c>
      <c r="B197" s="11">
        <f>계산과정!V197</f>
        <v/>
      </c>
      <c r="C197" s="12">
        <f>계산과정!W197</f>
        <v/>
      </c>
      <c r="D197" s="18">
        <f>계산과정!U197</f>
        <v/>
      </c>
      <c r="E197" s="18">
        <f>D197*C197</f>
        <v/>
      </c>
      <c r="F197" s="17">
        <f>원데이터!N197</f>
        <v/>
      </c>
      <c r="G197" s="17">
        <f>L196</f>
        <v/>
      </c>
      <c r="H197" s="17">
        <f>MAX(F197-G197, 0)</f>
        <v/>
      </c>
      <c r="I197" s="17">
        <f>MAX(G197-F197, 0)</f>
        <v/>
      </c>
      <c r="J197" s="18">
        <f>IF(I197&lt;=설정!$B$42, 1, (설정!$B$41-I197)/(설정!$B$41-설정!$B$42))</f>
        <v/>
      </c>
      <c r="K197" s="18">
        <f>J197*E197</f>
        <v/>
      </c>
      <c r="L197" s="17">
        <f>MIN(I197+K197, 설정!$B$41)</f>
        <v/>
      </c>
      <c r="M197" s="8">
        <f>IF(L197&gt;=설정!$B$42,"●","")</f>
        <v/>
      </c>
      <c r="N197" s="17">
        <f>IF(M197="●",L197,0)</f>
        <v/>
      </c>
      <c r="O197" s="17">
        <f>IF(N197&gt;0,N197/설정!$B$44,0)</f>
        <v/>
      </c>
    </row>
    <row r="198">
      <c r="A198" s="15">
        <f>계산과정!A198</f>
        <v/>
      </c>
      <c r="B198" s="11">
        <f>계산과정!V198</f>
        <v/>
      </c>
      <c r="C198" s="12">
        <f>계산과정!W198</f>
        <v/>
      </c>
      <c r="D198" s="18">
        <f>계산과정!U198</f>
        <v/>
      </c>
      <c r="E198" s="18">
        <f>D198*C198</f>
        <v/>
      </c>
      <c r="F198" s="17">
        <f>원데이터!N198</f>
        <v/>
      </c>
      <c r="G198" s="17">
        <f>L197</f>
        <v/>
      </c>
      <c r="H198" s="17">
        <f>MAX(F198-G198, 0)</f>
        <v/>
      </c>
      <c r="I198" s="17">
        <f>MAX(G198-F198, 0)</f>
        <v/>
      </c>
      <c r="J198" s="18">
        <f>IF(I198&lt;=설정!$B$42, 1, (설정!$B$41-I198)/(설정!$B$41-설정!$B$42))</f>
        <v/>
      </c>
      <c r="K198" s="18">
        <f>J198*E198</f>
        <v/>
      </c>
      <c r="L198" s="17">
        <f>MIN(I198+K198, 설정!$B$41)</f>
        <v/>
      </c>
      <c r="M198" s="8">
        <f>IF(L198&gt;=설정!$B$42,"●","")</f>
        <v/>
      </c>
      <c r="N198" s="17">
        <f>IF(M198="●",L198,0)</f>
        <v/>
      </c>
      <c r="O198" s="17">
        <f>IF(N198&gt;0,N198/설정!$B$44,0)</f>
        <v/>
      </c>
    </row>
    <row r="199">
      <c r="A199" s="15">
        <f>계산과정!A199</f>
        <v/>
      </c>
      <c r="B199" s="11">
        <f>계산과정!V199</f>
        <v/>
      </c>
      <c r="C199" s="12">
        <f>계산과정!W199</f>
        <v/>
      </c>
      <c r="D199" s="18">
        <f>계산과정!U199</f>
        <v/>
      </c>
      <c r="E199" s="18">
        <f>D199*C199</f>
        <v/>
      </c>
      <c r="F199" s="17">
        <f>원데이터!N199</f>
        <v/>
      </c>
      <c r="G199" s="17">
        <f>L198</f>
        <v/>
      </c>
      <c r="H199" s="17">
        <f>MAX(F199-G199, 0)</f>
        <v/>
      </c>
      <c r="I199" s="17">
        <f>MAX(G199-F199, 0)</f>
        <v/>
      </c>
      <c r="J199" s="18">
        <f>IF(I199&lt;=설정!$B$42, 1, (설정!$B$41-I199)/(설정!$B$41-설정!$B$42))</f>
        <v/>
      </c>
      <c r="K199" s="18">
        <f>J199*E199</f>
        <v/>
      </c>
      <c r="L199" s="17">
        <f>MIN(I199+K199, 설정!$B$41)</f>
        <v/>
      </c>
      <c r="M199" s="8">
        <f>IF(L199&gt;=설정!$B$42,"●","")</f>
        <v/>
      </c>
      <c r="N199" s="17">
        <f>IF(M199="●",L199,0)</f>
        <v/>
      </c>
      <c r="O199" s="17">
        <f>IF(N199&gt;0,N199/설정!$B$44,0)</f>
        <v/>
      </c>
    </row>
    <row r="200">
      <c r="A200" s="15">
        <f>계산과정!A200</f>
        <v/>
      </c>
      <c r="B200" s="11">
        <f>계산과정!V200</f>
        <v/>
      </c>
      <c r="C200" s="12">
        <f>계산과정!W200</f>
        <v/>
      </c>
      <c r="D200" s="18">
        <f>계산과정!U200</f>
        <v/>
      </c>
      <c r="E200" s="18">
        <f>D200*C200</f>
        <v/>
      </c>
      <c r="F200" s="17">
        <f>원데이터!N200</f>
        <v/>
      </c>
      <c r="G200" s="17">
        <f>L199</f>
        <v/>
      </c>
      <c r="H200" s="17">
        <f>MAX(F200-G200, 0)</f>
        <v/>
      </c>
      <c r="I200" s="17">
        <f>MAX(G200-F200, 0)</f>
        <v/>
      </c>
      <c r="J200" s="18">
        <f>IF(I200&lt;=설정!$B$42, 1, (설정!$B$41-I200)/(설정!$B$41-설정!$B$42))</f>
        <v/>
      </c>
      <c r="K200" s="18">
        <f>J200*E200</f>
        <v/>
      </c>
      <c r="L200" s="17">
        <f>MIN(I200+K200, 설정!$B$41)</f>
        <v/>
      </c>
      <c r="M200" s="8">
        <f>IF(L200&gt;=설정!$B$42,"●","")</f>
        <v/>
      </c>
      <c r="N200" s="17">
        <f>IF(M200="●",L200,0)</f>
        <v/>
      </c>
      <c r="O200" s="17">
        <f>IF(N200&gt;0,N200/설정!$B$44,0)</f>
        <v/>
      </c>
    </row>
    <row r="201">
      <c r="A201" s="15">
        <f>계산과정!A201</f>
        <v/>
      </c>
      <c r="B201" s="11">
        <f>계산과정!V201</f>
        <v/>
      </c>
      <c r="C201" s="12">
        <f>계산과정!W201</f>
        <v/>
      </c>
      <c r="D201" s="18">
        <f>계산과정!U201</f>
        <v/>
      </c>
      <c r="E201" s="18">
        <f>D201*C201</f>
        <v/>
      </c>
      <c r="F201" s="17">
        <f>원데이터!N201</f>
        <v/>
      </c>
      <c r="G201" s="17">
        <f>L200</f>
        <v/>
      </c>
      <c r="H201" s="17">
        <f>MAX(F201-G201, 0)</f>
        <v/>
      </c>
      <c r="I201" s="17">
        <f>MAX(G201-F201, 0)</f>
        <v/>
      </c>
      <c r="J201" s="18">
        <f>IF(I201&lt;=설정!$B$42, 1, (설정!$B$41-I201)/(설정!$B$41-설정!$B$42))</f>
        <v/>
      </c>
      <c r="K201" s="18">
        <f>J201*E201</f>
        <v/>
      </c>
      <c r="L201" s="17">
        <f>MIN(I201+K201, 설정!$B$41)</f>
        <v/>
      </c>
      <c r="M201" s="8">
        <f>IF(L201&gt;=설정!$B$42,"●","")</f>
        <v/>
      </c>
      <c r="N201" s="17">
        <f>IF(M201="●",L201,0)</f>
        <v/>
      </c>
      <c r="O201" s="17">
        <f>IF(N201&gt;0,N201/설정!$B$44,0)</f>
        <v/>
      </c>
    </row>
    <row r="202">
      <c r="A202" s="15">
        <f>계산과정!A202</f>
        <v/>
      </c>
      <c r="B202" s="11">
        <f>계산과정!V202</f>
        <v/>
      </c>
      <c r="C202" s="12">
        <f>계산과정!W202</f>
        <v/>
      </c>
      <c r="D202" s="18">
        <f>계산과정!U202</f>
        <v/>
      </c>
      <c r="E202" s="18">
        <f>D202*C202</f>
        <v/>
      </c>
      <c r="F202" s="17">
        <f>원데이터!N202</f>
        <v/>
      </c>
      <c r="G202" s="17">
        <f>L201</f>
        <v/>
      </c>
      <c r="H202" s="17">
        <f>MAX(F202-G202, 0)</f>
        <v/>
      </c>
      <c r="I202" s="17">
        <f>MAX(G202-F202, 0)</f>
        <v/>
      </c>
      <c r="J202" s="18">
        <f>IF(I202&lt;=설정!$B$42, 1, (설정!$B$41-I202)/(설정!$B$41-설정!$B$42))</f>
        <v/>
      </c>
      <c r="K202" s="18">
        <f>J202*E202</f>
        <v/>
      </c>
      <c r="L202" s="17">
        <f>MIN(I202+K202, 설정!$B$41)</f>
        <v/>
      </c>
      <c r="M202" s="8">
        <f>IF(L202&gt;=설정!$B$42,"●","")</f>
        <v/>
      </c>
      <c r="N202" s="17">
        <f>IF(M202="●",L202,0)</f>
        <v/>
      </c>
      <c r="O202" s="17">
        <f>IF(N202&gt;0,N202/설정!$B$44,0)</f>
        <v/>
      </c>
    </row>
    <row r="203">
      <c r="A203" s="15">
        <f>계산과정!A203</f>
        <v/>
      </c>
      <c r="B203" s="11">
        <f>계산과정!V203</f>
        <v/>
      </c>
      <c r="C203" s="12">
        <f>계산과정!W203</f>
        <v/>
      </c>
      <c r="D203" s="18">
        <f>계산과정!U203</f>
        <v/>
      </c>
      <c r="E203" s="18">
        <f>D203*C203</f>
        <v/>
      </c>
      <c r="F203" s="17">
        <f>원데이터!N203</f>
        <v/>
      </c>
      <c r="G203" s="17">
        <f>L202</f>
        <v/>
      </c>
      <c r="H203" s="17">
        <f>MAX(F203-G203, 0)</f>
        <v/>
      </c>
      <c r="I203" s="17">
        <f>MAX(G203-F203, 0)</f>
        <v/>
      </c>
      <c r="J203" s="18">
        <f>IF(I203&lt;=설정!$B$42, 1, (설정!$B$41-I203)/(설정!$B$41-설정!$B$42))</f>
        <v/>
      </c>
      <c r="K203" s="18">
        <f>J203*E203</f>
        <v/>
      </c>
      <c r="L203" s="17">
        <f>MIN(I203+K203, 설정!$B$41)</f>
        <v/>
      </c>
      <c r="M203" s="8">
        <f>IF(L203&gt;=설정!$B$42,"●","")</f>
        <v/>
      </c>
      <c r="N203" s="17">
        <f>IF(M203="●",L203,0)</f>
        <v/>
      </c>
      <c r="O203" s="17">
        <f>IF(N203&gt;0,N203/설정!$B$44,0)</f>
        <v/>
      </c>
    </row>
    <row r="204">
      <c r="A204" s="15">
        <f>계산과정!A204</f>
        <v/>
      </c>
      <c r="B204" s="11">
        <f>계산과정!V204</f>
        <v/>
      </c>
      <c r="C204" s="12">
        <f>계산과정!W204</f>
        <v/>
      </c>
      <c r="D204" s="18">
        <f>계산과정!U204</f>
        <v/>
      </c>
      <c r="E204" s="18">
        <f>D204*C204</f>
        <v/>
      </c>
      <c r="F204" s="17">
        <f>원데이터!N204</f>
        <v/>
      </c>
      <c r="G204" s="17">
        <f>L203</f>
        <v/>
      </c>
      <c r="H204" s="17">
        <f>MAX(F204-G204, 0)</f>
        <v/>
      </c>
      <c r="I204" s="17">
        <f>MAX(G204-F204, 0)</f>
        <v/>
      </c>
      <c r="J204" s="18">
        <f>IF(I204&lt;=설정!$B$42, 1, (설정!$B$41-I204)/(설정!$B$41-설정!$B$42))</f>
        <v/>
      </c>
      <c r="K204" s="18">
        <f>J204*E204</f>
        <v/>
      </c>
      <c r="L204" s="17">
        <f>MIN(I204+K204, 설정!$B$41)</f>
        <v/>
      </c>
      <c r="M204" s="8">
        <f>IF(L204&gt;=설정!$B$42,"●","")</f>
        <v/>
      </c>
      <c r="N204" s="17">
        <f>IF(M204="●",L204,0)</f>
        <v/>
      </c>
      <c r="O204" s="17">
        <f>IF(N204&gt;0,N204/설정!$B$44,0)</f>
        <v/>
      </c>
    </row>
    <row r="205">
      <c r="A205" s="15">
        <f>계산과정!A205</f>
        <v/>
      </c>
      <c r="B205" s="11">
        <f>계산과정!V205</f>
        <v/>
      </c>
      <c r="C205" s="12">
        <f>계산과정!W205</f>
        <v/>
      </c>
      <c r="D205" s="18">
        <f>계산과정!U205</f>
        <v/>
      </c>
      <c r="E205" s="18">
        <f>D205*C205</f>
        <v/>
      </c>
      <c r="F205" s="17">
        <f>원데이터!N205</f>
        <v/>
      </c>
      <c r="G205" s="17">
        <f>L204</f>
        <v/>
      </c>
      <c r="H205" s="17">
        <f>MAX(F205-G205, 0)</f>
        <v/>
      </c>
      <c r="I205" s="17">
        <f>MAX(G205-F205, 0)</f>
        <v/>
      </c>
      <c r="J205" s="18">
        <f>IF(I205&lt;=설정!$B$42, 1, (설정!$B$41-I205)/(설정!$B$41-설정!$B$42))</f>
        <v/>
      </c>
      <c r="K205" s="18">
        <f>J205*E205</f>
        <v/>
      </c>
      <c r="L205" s="17">
        <f>MIN(I205+K205, 설정!$B$41)</f>
        <v/>
      </c>
      <c r="M205" s="8">
        <f>IF(L205&gt;=설정!$B$42,"●","")</f>
        <v/>
      </c>
      <c r="N205" s="17">
        <f>IF(M205="●",L205,0)</f>
        <v/>
      </c>
      <c r="O205" s="17">
        <f>IF(N205&gt;0,N205/설정!$B$44,0)</f>
        <v/>
      </c>
    </row>
    <row r="206">
      <c r="A206" s="15">
        <f>계산과정!A206</f>
        <v/>
      </c>
      <c r="B206" s="11">
        <f>계산과정!V206</f>
        <v/>
      </c>
      <c r="C206" s="12">
        <f>계산과정!W206</f>
        <v/>
      </c>
      <c r="D206" s="18">
        <f>계산과정!U206</f>
        <v/>
      </c>
      <c r="E206" s="18">
        <f>D206*C206</f>
        <v/>
      </c>
      <c r="F206" s="17">
        <f>원데이터!N206</f>
        <v/>
      </c>
      <c r="G206" s="17">
        <f>L205</f>
        <v/>
      </c>
      <c r="H206" s="17">
        <f>MAX(F206-G206, 0)</f>
        <v/>
      </c>
      <c r="I206" s="17">
        <f>MAX(G206-F206, 0)</f>
        <v/>
      </c>
      <c r="J206" s="18">
        <f>IF(I206&lt;=설정!$B$42, 1, (설정!$B$41-I206)/(설정!$B$41-설정!$B$42))</f>
        <v/>
      </c>
      <c r="K206" s="18">
        <f>J206*E206</f>
        <v/>
      </c>
      <c r="L206" s="17">
        <f>MIN(I206+K206, 설정!$B$41)</f>
        <v/>
      </c>
      <c r="M206" s="8">
        <f>IF(L206&gt;=설정!$B$42,"●","")</f>
        <v/>
      </c>
      <c r="N206" s="17">
        <f>IF(M206="●",L206,0)</f>
        <v/>
      </c>
      <c r="O206" s="17">
        <f>IF(N206&gt;0,N206/설정!$B$44,0)</f>
        <v/>
      </c>
    </row>
    <row r="207">
      <c r="A207" s="15">
        <f>계산과정!A207</f>
        <v/>
      </c>
      <c r="B207" s="11">
        <f>계산과정!V207</f>
        <v/>
      </c>
      <c r="C207" s="12">
        <f>계산과정!W207</f>
        <v/>
      </c>
      <c r="D207" s="18">
        <f>계산과정!U207</f>
        <v/>
      </c>
      <c r="E207" s="18">
        <f>D207*C207</f>
        <v/>
      </c>
      <c r="F207" s="17">
        <f>원데이터!N207</f>
        <v/>
      </c>
      <c r="G207" s="17">
        <f>L206</f>
        <v/>
      </c>
      <c r="H207" s="17">
        <f>MAX(F207-G207, 0)</f>
        <v/>
      </c>
      <c r="I207" s="17">
        <f>MAX(G207-F207, 0)</f>
        <v/>
      </c>
      <c r="J207" s="18">
        <f>IF(I207&lt;=설정!$B$42, 1, (설정!$B$41-I207)/(설정!$B$41-설정!$B$42))</f>
        <v/>
      </c>
      <c r="K207" s="18">
        <f>J207*E207</f>
        <v/>
      </c>
      <c r="L207" s="17">
        <f>MIN(I207+K207, 설정!$B$41)</f>
        <v/>
      </c>
      <c r="M207" s="8">
        <f>IF(L207&gt;=설정!$B$42,"●","")</f>
        <v/>
      </c>
      <c r="N207" s="17">
        <f>IF(M207="●",L207,0)</f>
        <v/>
      </c>
      <c r="O207" s="17">
        <f>IF(N207&gt;0,N207/설정!$B$44,0)</f>
        <v/>
      </c>
    </row>
    <row r="208">
      <c r="A208" s="15">
        <f>계산과정!A208</f>
        <v/>
      </c>
      <c r="B208" s="11">
        <f>계산과정!V208</f>
        <v/>
      </c>
      <c r="C208" s="12">
        <f>계산과정!W208</f>
        <v/>
      </c>
      <c r="D208" s="18">
        <f>계산과정!U208</f>
        <v/>
      </c>
      <c r="E208" s="18">
        <f>D208*C208</f>
        <v/>
      </c>
      <c r="F208" s="17">
        <f>원데이터!N208</f>
        <v/>
      </c>
      <c r="G208" s="17">
        <f>L207</f>
        <v/>
      </c>
      <c r="H208" s="17">
        <f>MAX(F208-G208, 0)</f>
        <v/>
      </c>
      <c r="I208" s="17">
        <f>MAX(G208-F208, 0)</f>
        <v/>
      </c>
      <c r="J208" s="18">
        <f>IF(I208&lt;=설정!$B$42, 1, (설정!$B$41-I208)/(설정!$B$41-설정!$B$42))</f>
        <v/>
      </c>
      <c r="K208" s="18">
        <f>J208*E208</f>
        <v/>
      </c>
      <c r="L208" s="17">
        <f>MIN(I208+K208, 설정!$B$41)</f>
        <v/>
      </c>
      <c r="M208" s="8">
        <f>IF(L208&gt;=설정!$B$42,"●","")</f>
        <v/>
      </c>
      <c r="N208" s="17">
        <f>IF(M208="●",L208,0)</f>
        <v/>
      </c>
      <c r="O208" s="17">
        <f>IF(N208&gt;0,N208/설정!$B$44,0)</f>
        <v/>
      </c>
    </row>
    <row r="209">
      <c r="A209" s="15">
        <f>계산과정!A209</f>
        <v/>
      </c>
      <c r="B209" s="11">
        <f>계산과정!V209</f>
        <v/>
      </c>
      <c r="C209" s="12">
        <f>계산과정!W209</f>
        <v/>
      </c>
      <c r="D209" s="18">
        <f>계산과정!U209</f>
        <v/>
      </c>
      <c r="E209" s="18">
        <f>D209*C209</f>
        <v/>
      </c>
      <c r="F209" s="17">
        <f>원데이터!N209</f>
        <v/>
      </c>
      <c r="G209" s="17">
        <f>L208</f>
        <v/>
      </c>
      <c r="H209" s="17">
        <f>MAX(F209-G209, 0)</f>
        <v/>
      </c>
      <c r="I209" s="17">
        <f>MAX(G209-F209, 0)</f>
        <v/>
      </c>
      <c r="J209" s="18">
        <f>IF(I209&lt;=설정!$B$42, 1, (설정!$B$41-I209)/(설정!$B$41-설정!$B$42))</f>
        <v/>
      </c>
      <c r="K209" s="18">
        <f>J209*E209</f>
        <v/>
      </c>
      <c r="L209" s="17">
        <f>MIN(I209+K209, 설정!$B$41)</f>
        <v/>
      </c>
      <c r="M209" s="8">
        <f>IF(L209&gt;=설정!$B$42,"●","")</f>
        <v/>
      </c>
      <c r="N209" s="17">
        <f>IF(M209="●",L209,0)</f>
        <v/>
      </c>
      <c r="O209" s="17">
        <f>IF(N209&gt;0,N209/설정!$B$44,0)</f>
        <v/>
      </c>
    </row>
    <row r="210">
      <c r="A210" s="15">
        <f>계산과정!A210</f>
        <v/>
      </c>
      <c r="B210" s="11">
        <f>계산과정!V210</f>
        <v/>
      </c>
      <c r="C210" s="12">
        <f>계산과정!W210</f>
        <v/>
      </c>
      <c r="D210" s="18">
        <f>계산과정!U210</f>
        <v/>
      </c>
      <c r="E210" s="18">
        <f>D210*C210</f>
        <v/>
      </c>
      <c r="F210" s="17">
        <f>원데이터!N210</f>
        <v/>
      </c>
      <c r="G210" s="17">
        <f>L209</f>
        <v/>
      </c>
      <c r="H210" s="17">
        <f>MAX(F210-G210, 0)</f>
        <v/>
      </c>
      <c r="I210" s="17">
        <f>MAX(G210-F210, 0)</f>
        <v/>
      </c>
      <c r="J210" s="18">
        <f>IF(I210&lt;=설정!$B$42, 1, (설정!$B$41-I210)/(설정!$B$41-설정!$B$42))</f>
        <v/>
      </c>
      <c r="K210" s="18">
        <f>J210*E210</f>
        <v/>
      </c>
      <c r="L210" s="17">
        <f>MIN(I210+K210, 설정!$B$41)</f>
        <v/>
      </c>
      <c r="M210" s="8">
        <f>IF(L210&gt;=설정!$B$42,"●","")</f>
        <v/>
      </c>
      <c r="N210" s="17">
        <f>IF(M210="●",L210,0)</f>
        <v/>
      </c>
      <c r="O210" s="17">
        <f>IF(N210&gt;0,N210/설정!$B$44,0)</f>
        <v/>
      </c>
    </row>
    <row r="211">
      <c r="A211" s="15">
        <f>계산과정!A211</f>
        <v/>
      </c>
      <c r="B211" s="11">
        <f>계산과정!V211</f>
        <v/>
      </c>
      <c r="C211" s="12">
        <f>계산과정!W211</f>
        <v/>
      </c>
      <c r="D211" s="18">
        <f>계산과정!U211</f>
        <v/>
      </c>
      <c r="E211" s="18">
        <f>D211*C211</f>
        <v/>
      </c>
      <c r="F211" s="17">
        <f>원데이터!N211</f>
        <v/>
      </c>
      <c r="G211" s="17">
        <f>L210</f>
        <v/>
      </c>
      <c r="H211" s="17">
        <f>MAX(F211-G211, 0)</f>
        <v/>
      </c>
      <c r="I211" s="17">
        <f>MAX(G211-F211, 0)</f>
        <v/>
      </c>
      <c r="J211" s="18">
        <f>IF(I211&lt;=설정!$B$42, 1, (설정!$B$41-I211)/(설정!$B$41-설정!$B$42))</f>
        <v/>
      </c>
      <c r="K211" s="18">
        <f>J211*E211</f>
        <v/>
      </c>
      <c r="L211" s="17">
        <f>MIN(I211+K211, 설정!$B$41)</f>
        <v/>
      </c>
      <c r="M211" s="8">
        <f>IF(L211&gt;=설정!$B$42,"●","")</f>
        <v/>
      </c>
      <c r="N211" s="17">
        <f>IF(M211="●",L211,0)</f>
        <v/>
      </c>
      <c r="O211" s="17">
        <f>IF(N211&gt;0,N211/설정!$B$44,0)</f>
        <v/>
      </c>
    </row>
    <row r="212">
      <c r="A212" s="15">
        <f>계산과정!A212</f>
        <v/>
      </c>
      <c r="B212" s="11">
        <f>계산과정!V212</f>
        <v/>
      </c>
      <c r="C212" s="12">
        <f>계산과정!W212</f>
        <v/>
      </c>
      <c r="D212" s="18">
        <f>계산과정!U212</f>
        <v/>
      </c>
      <c r="E212" s="18">
        <f>D212*C212</f>
        <v/>
      </c>
      <c r="F212" s="17">
        <f>원데이터!N212</f>
        <v/>
      </c>
      <c r="G212" s="17">
        <f>L211</f>
        <v/>
      </c>
      <c r="H212" s="17">
        <f>MAX(F212-G212, 0)</f>
        <v/>
      </c>
      <c r="I212" s="17">
        <f>MAX(G212-F212, 0)</f>
        <v/>
      </c>
      <c r="J212" s="18">
        <f>IF(I212&lt;=설정!$B$42, 1, (설정!$B$41-I212)/(설정!$B$41-설정!$B$42))</f>
        <v/>
      </c>
      <c r="K212" s="18">
        <f>J212*E212</f>
        <v/>
      </c>
      <c r="L212" s="17">
        <f>MIN(I212+K212, 설정!$B$41)</f>
        <v/>
      </c>
      <c r="M212" s="8">
        <f>IF(L212&gt;=설정!$B$42,"●","")</f>
        <v/>
      </c>
      <c r="N212" s="17">
        <f>IF(M212="●",L212,0)</f>
        <v/>
      </c>
      <c r="O212" s="17">
        <f>IF(N212&gt;0,N212/설정!$B$44,0)</f>
        <v/>
      </c>
    </row>
    <row r="213">
      <c r="A213" s="15">
        <f>계산과정!A213</f>
        <v/>
      </c>
      <c r="B213" s="11">
        <f>계산과정!V213</f>
        <v/>
      </c>
      <c r="C213" s="12">
        <f>계산과정!W213</f>
        <v/>
      </c>
      <c r="D213" s="18">
        <f>계산과정!U213</f>
        <v/>
      </c>
      <c r="E213" s="18">
        <f>D213*C213</f>
        <v/>
      </c>
      <c r="F213" s="17">
        <f>원데이터!N213</f>
        <v/>
      </c>
      <c r="G213" s="17">
        <f>L212</f>
        <v/>
      </c>
      <c r="H213" s="17">
        <f>MAX(F213-G213, 0)</f>
        <v/>
      </c>
      <c r="I213" s="17">
        <f>MAX(G213-F213, 0)</f>
        <v/>
      </c>
      <c r="J213" s="18">
        <f>IF(I213&lt;=설정!$B$42, 1, (설정!$B$41-I213)/(설정!$B$41-설정!$B$42))</f>
        <v/>
      </c>
      <c r="K213" s="18">
        <f>J213*E213</f>
        <v/>
      </c>
      <c r="L213" s="17">
        <f>MIN(I213+K213, 설정!$B$41)</f>
        <v/>
      </c>
      <c r="M213" s="8">
        <f>IF(L213&gt;=설정!$B$42,"●","")</f>
        <v/>
      </c>
      <c r="N213" s="17">
        <f>IF(M213="●",L213,0)</f>
        <v/>
      </c>
      <c r="O213" s="17">
        <f>IF(N213&gt;0,N213/설정!$B$44,0)</f>
        <v/>
      </c>
    </row>
    <row r="214">
      <c r="A214" s="15">
        <f>계산과정!A214</f>
        <v/>
      </c>
      <c r="B214" s="11">
        <f>계산과정!V214</f>
        <v/>
      </c>
      <c r="C214" s="12">
        <f>계산과정!W214</f>
        <v/>
      </c>
      <c r="D214" s="18">
        <f>계산과정!U214</f>
        <v/>
      </c>
      <c r="E214" s="18">
        <f>D214*C214</f>
        <v/>
      </c>
      <c r="F214" s="17">
        <f>원데이터!N214</f>
        <v/>
      </c>
      <c r="G214" s="17">
        <f>L213</f>
        <v/>
      </c>
      <c r="H214" s="17">
        <f>MAX(F214-G214, 0)</f>
        <v/>
      </c>
      <c r="I214" s="17">
        <f>MAX(G214-F214, 0)</f>
        <v/>
      </c>
      <c r="J214" s="18">
        <f>IF(I214&lt;=설정!$B$42, 1, (설정!$B$41-I214)/(설정!$B$41-설정!$B$42))</f>
        <v/>
      </c>
      <c r="K214" s="18">
        <f>J214*E214</f>
        <v/>
      </c>
      <c r="L214" s="17">
        <f>MIN(I214+K214, 설정!$B$41)</f>
        <v/>
      </c>
      <c r="M214" s="8">
        <f>IF(L214&gt;=설정!$B$42,"●","")</f>
        <v/>
      </c>
      <c r="N214" s="17">
        <f>IF(M214="●",L214,0)</f>
        <v/>
      </c>
      <c r="O214" s="17">
        <f>IF(N214&gt;0,N214/설정!$B$44,0)</f>
        <v/>
      </c>
    </row>
    <row r="215">
      <c r="A215" s="15">
        <f>계산과정!A215</f>
        <v/>
      </c>
      <c r="B215" s="11">
        <f>계산과정!V215</f>
        <v/>
      </c>
      <c r="C215" s="12">
        <f>계산과정!W215</f>
        <v/>
      </c>
      <c r="D215" s="18">
        <f>계산과정!U215</f>
        <v/>
      </c>
      <c r="E215" s="18">
        <f>D215*C215</f>
        <v/>
      </c>
      <c r="F215" s="17">
        <f>원데이터!N215</f>
        <v/>
      </c>
      <c r="G215" s="17">
        <f>L214</f>
        <v/>
      </c>
      <c r="H215" s="17">
        <f>MAX(F215-G215, 0)</f>
        <v/>
      </c>
      <c r="I215" s="17">
        <f>MAX(G215-F215, 0)</f>
        <v/>
      </c>
      <c r="J215" s="18">
        <f>IF(I215&lt;=설정!$B$42, 1, (설정!$B$41-I215)/(설정!$B$41-설정!$B$42))</f>
        <v/>
      </c>
      <c r="K215" s="18">
        <f>J215*E215</f>
        <v/>
      </c>
      <c r="L215" s="17">
        <f>MIN(I215+K215, 설정!$B$41)</f>
        <v/>
      </c>
      <c r="M215" s="8">
        <f>IF(L215&gt;=설정!$B$42,"●","")</f>
        <v/>
      </c>
      <c r="N215" s="17">
        <f>IF(M215="●",L215,0)</f>
        <v/>
      </c>
      <c r="O215" s="17">
        <f>IF(N215&gt;0,N215/설정!$B$44,0)</f>
        <v/>
      </c>
    </row>
    <row r="216">
      <c r="A216" s="15">
        <f>계산과정!A216</f>
        <v/>
      </c>
      <c r="B216" s="11">
        <f>계산과정!V216</f>
        <v/>
      </c>
      <c r="C216" s="12">
        <f>계산과정!W216</f>
        <v/>
      </c>
      <c r="D216" s="18">
        <f>계산과정!U216</f>
        <v/>
      </c>
      <c r="E216" s="18">
        <f>D216*C216</f>
        <v/>
      </c>
      <c r="F216" s="17">
        <f>원데이터!N216</f>
        <v/>
      </c>
      <c r="G216" s="17">
        <f>L215</f>
        <v/>
      </c>
      <c r="H216" s="17">
        <f>MAX(F216-G216, 0)</f>
        <v/>
      </c>
      <c r="I216" s="17">
        <f>MAX(G216-F216, 0)</f>
        <v/>
      </c>
      <c r="J216" s="18">
        <f>IF(I216&lt;=설정!$B$42, 1, (설정!$B$41-I216)/(설정!$B$41-설정!$B$42))</f>
        <v/>
      </c>
      <c r="K216" s="18">
        <f>J216*E216</f>
        <v/>
      </c>
      <c r="L216" s="17">
        <f>MIN(I216+K216, 설정!$B$41)</f>
        <v/>
      </c>
      <c r="M216" s="8">
        <f>IF(L216&gt;=설정!$B$42,"●","")</f>
        <v/>
      </c>
      <c r="N216" s="17">
        <f>IF(M216="●",L216,0)</f>
        <v/>
      </c>
      <c r="O216" s="17">
        <f>IF(N216&gt;0,N216/설정!$B$44,0)</f>
        <v/>
      </c>
    </row>
    <row r="217">
      <c r="A217" s="15">
        <f>계산과정!A217</f>
        <v/>
      </c>
      <c r="B217" s="11">
        <f>계산과정!V217</f>
        <v/>
      </c>
      <c r="C217" s="12">
        <f>계산과정!W217</f>
        <v/>
      </c>
      <c r="D217" s="18">
        <f>계산과정!U217</f>
        <v/>
      </c>
      <c r="E217" s="18">
        <f>D217*C217</f>
        <v/>
      </c>
      <c r="F217" s="17">
        <f>원데이터!N217</f>
        <v/>
      </c>
      <c r="G217" s="17">
        <f>L216</f>
        <v/>
      </c>
      <c r="H217" s="17">
        <f>MAX(F217-G217, 0)</f>
        <v/>
      </c>
      <c r="I217" s="17">
        <f>MAX(G217-F217, 0)</f>
        <v/>
      </c>
      <c r="J217" s="18">
        <f>IF(I217&lt;=설정!$B$42, 1, (설정!$B$41-I217)/(설정!$B$41-설정!$B$42))</f>
        <v/>
      </c>
      <c r="K217" s="18">
        <f>J217*E217</f>
        <v/>
      </c>
      <c r="L217" s="17">
        <f>MIN(I217+K217, 설정!$B$41)</f>
        <v/>
      </c>
      <c r="M217" s="8">
        <f>IF(L217&gt;=설정!$B$42,"●","")</f>
        <v/>
      </c>
      <c r="N217" s="17">
        <f>IF(M217="●",L217,0)</f>
        <v/>
      </c>
      <c r="O217" s="17">
        <f>IF(N217&gt;0,N217/설정!$B$44,0)</f>
        <v/>
      </c>
    </row>
    <row r="218">
      <c r="A218" s="15">
        <f>계산과정!A218</f>
        <v/>
      </c>
      <c r="B218" s="11">
        <f>계산과정!V218</f>
        <v/>
      </c>
      <c r="C218" s="12">
        <f>계산과정!W218</f>
        <v/>
      </c>
      <c r="D218" s="18">
        <f>계산과정!U218</f>
        <v/>
      </c>
      <c r="E218" s="18">
        <f>D218*C218</f>
        <v/>
      </c>
      <c r="F218" s="17">
        <f>원데이터!N218</f>
        <v/>
      </c>
      <c r="G218" s="17">
        <f>L217</f>
        <v/>
      </c>
      <c r="H218" s="17">
        <f>MAX(F218-G218, 0)</f>
        <v/>
      </c>
      <c r="I218" s="17">
        <f>MAX(G218-F218, 0)</f>
        <v/>
      </c>
      <c r="J218" s="18">
        <f>IF(I218&lt;=설정!$B$42, 1, (설정!$B$41-I218)/(설정!$B$41-설정!$B$42))</f>
        <v/>
      </c>
      <c r="K218" s="18">
        <f>J218*E218</f>
        <v/>
      </c>
      <c r="L218" s="17">
        <f>MIN(I218+K218, 설정!$B$41)</f>
        <v/>
      </c>
      <c r="M218" s="8">
        <f>IF(L218&gt;=설정!$B$42,"●","")</f>
        <v/>
      </c>
      <c r="N218" s="17">
        <f>IF(M218="●",L218,0)</f>
        <v/>
      </c>
      <c r="O218" s="17">
        <f>IF(N218&gt;0,N218/설정!$B$44,0)</f>
        <v/>
      </c>
    </row>
    <row r="219">
      <c r="A219" s="15">
        <f>계산과정!A219</f>
        <v/>
      </c>
      <c r="B219" s="11">
        <f>계산과정!V219</f>
        <v/>
      </c>
      <c r="C219" s="12">
        <f>계산과정!W219</f>
        <v/>
      </c>
      <c r="D219" s="18">
        <f>계산과정!U219</f>
        <v/>
      </c>
      <c r="E219" s="18">
        <f>D219*C219</f>
        <v/>
      </c>
      <c r="F219" s="17">
        <f>원데이터!N219</f>
        <v/>
      </c>
      <c r="G219" s="17">
        <f>L218</f>
        <v/>
      </c>
      <c r="H219" s="17">
        <f>MAX(F219-G219, 0)</f>
        <v/>
      </c>
      <c r="I219" s="17">
        <f>MAX(G219-F219, 0)</f>
        <v/>
      </c>
      <c r="J219" s="18">
        <f>IF(I219&lt;=설정!$B$42, 1, (설정!$B$41-I219)/(설정!$B$41-설정!$B$42))</f>
        <v/>
      </c>
      <c r="K219" s="18">
        <f>J219*E219</f>
        <v/>
      </c>
      <c r="L219" s="17">
        <f>MIN(I219+K219, 설정!$B$41)</f>
        <v/>
      </c>
      <c r="M219" s="8">
        <f>IF(L219&gt;=설정!$B$42,"●","")</f>
        <v/>
      </c>
      <c r="N219" s="17">
        <f>IF(M219="●",L219,0)</f>
        <v/>
      </c>
      <c r="O219" s="17">
        <f>IF(N219&gt;0,N219/설정!$B$44,0)</f>
        <v/>
      </c>
    </row>
    <row r="220">
      <c r="A220" s="15">
        <f>계산과정!A220</f>
        <v/>
      </c>
      <c r="B220" s="11">
        <f>계산과정!V220</f>
        <v/>
      </c>
      <c r="C220" s="12">
        <f>계산과정!W220</f>
        <v/>
      </c>
      <c r="D220" s="18">
        <f>계산과정!U220</f>
        <v/>
      </c>
      <c r="E220" s="18">
        <f>D220*C220</f>
        <v/>
      </c>
      <c r="F220" s="17">
        <f>원데이터!N220</f>
        <v/>
      </c>
      <c r="G220" s="17">
        <f>L219</f>
        <v/>
      </c>
      <c r="H220" s="17">
        <f>MAX(F220-G220, 0)</f>
        <v/>
      </c>
      <c r="I220" s="17">
        <f>MAX(G220-F220, 0)</f>
        <v/>
      </c>
      <c r="J220" s="18">
        <f>IF(I220&lt;=설정!$B$42, 1, (설정!$B$41-I220)/(설정!$B$41-설정!$B$42))</f>
        <v/>
      </c>
      <c r="K220" s="18">
        <f>J220*E220</f>
        <v/>
      </c>
      <c r="L220" s="17">
        <f>MIN(I220+K220, 설정!$B$41)</f>
        <v/>
      </c>
      <c r="M220" s="8">
        <f>IF(L220&gt;=설정!$B$42,"●","")</f>
        <v/>
      </c>
      <c r="N220" s="17">
        <f>IF(M220="●",L220,0)</f>
        <v/>
      </c>
      <c r="O220" s="17">
        <f>IF(N220&gt;0,N220/설정!$B$44,0)</f>
        <v/>
      </c>
    </row>
    <row r="221">
      <c r="A221" s="15">
        <f>계산과정!A221</f>
        <v/>
      </c>
      <c r="B221" s="11">
        <f>계산과정!V221</f>
        <v/>
      </c>
      <c r="C221" s="12">
        <f>계산과정!W221</f>
        <v/>
      </c>
      <c r="D221" s="18">
        <f>계산과정!U221</f>
        <v/>
      </c>
      <c r="E221" s="18">
        <f>D221*C221</f>
        <v/>
      </c>
      <c r="F221" s="17">
        <f>원데이터!N221</f>
        <v/>
      </c>
      <c r="G221" s="17">
        <f>L220</f>
        <v/>
      </c>
      <c r="H221" s="17">
        <f>MAX(F221-G221, 0)</f>
        <v/>
      </c>
      <c r="I221" s="17">
        <f>MAX(G221-F221, 0)</f>
        <v/>
      </c>
      <c r="J221" s="18">
        <f>IF(I221&lt;=설정!$B$42, 1, (설정!$B$41-I221)/(설정!$B$41-설정!$B$42))</f>
        <v/>
      </c>
      <c r="K221" s="18">
        <f>J221*E221</f>
        <v/>
      </c>
      <c r="L221" s="17">
        <f>MIN(I221+K221, 설정!$B$41)</f>
        <v/>
      </c>
      <c r="M221" s="8">
        <f>IF(L221&gt;=설정!$B$42,"●","")</f>
        <v/>
      </c>
      <c r="N221" s="17">
        <f>IF(M221="●",L221,0)</f>
        <v/>
      </c>
      <c r="O221" s="17">
        <f>IF(N221&gt;0,N221/설정!$B$44,0)</f>
        <v/>
      </c>
    </row>
    <row r="222">
      <c r="A222" s="15">
        <f>계산과정!A222</f>
        <v/>
      </c>
      <c r="B222" s="11">
        <f>계산과정!V222</f>
        <v/>
      </c>
      <c r="C222" s="12">
        <f>계산과정!W222</f>
        <v/>
      </c>
      <c r="D222" s="18">
        <f>계산과정!U222</f>
        <v/>
      </c>
      <c r="E222" s="18">
        <f>D222*C222</f>
        <v/>
      </c>
      <c r="F222" s="17">
        <f>원데이터!N222</f>
        <v/>
      </c>
      <c r="G222" s="17">
        <f>L221</f>
        <v/>
      </c>
      <c r="H222" s="17">
        <f>MAX(F222-G222, 0)</f>
        <v/>
      </c>
      <c r="I222" s="17">
        <f>MAX(G222-F222, 0)</f>
        <v/>
      </c>
      <c r="J222" s="18">
        <f>IF(I222&lt;=설정!$B$42, 1, (설정!$B$41-I222)/(설정!$B$41-설정!$B$42))</f>
        <v/>
      </c>
      <c r="K222" s="18">
        <f>J222*E222</f>
        <v/>
      </c>
      <c r="L222" s="17">
        <f>MIN(I222+K222, 설정!$B$41)</f>
        <v/>
      </c>
      <c r="M222" s="8">
        <f>IF(L222&gt;=설정!$B$42,"●","")</f>
        <v/>
      </c>
      <c r="N222" s="17">
        <f>IF(M222="●",L222,0)</f>
        <v/>
      </c>
      <c r="O222" s="17">
        <f>IF(N222&gt;0,N222/설정!$B$44,0)</f>
        <v/>
      </c>
    </row>
    <row r="223">
      <c r="A223" s="15">
        <f>계산과정!A223</f>
        <v/>
      </c>
      <c r="B223" s="11">
        <f>계산과정!V223</f>
        <v/>
      </c>
      <c r="C223" s="12">
        <f>계산과정!W223</f>
        <v/>
      </c>
      <c r="D223" s="18">
        <f>계산과정!U223</f>
        <v/>
      </c>
      <c r="E223" s="18">
        <f>D223*C223</f>
        <v/>
      </c>
      <c r="F223" s="17">
        <f>원데이터!N223</f>
        <v/>
      </c>
      <c r="G223" s="17">
        <f>L222</f>
        <v/>
      </c>
      <c r="H223" s="17">
        <f>MAX(F223-G223, 0)</f>
        <v/>
      </c>
      <c r="I223" s="17">
        <f>MAX(G223-F223, 0)</f>
        <v/>
      </c>
      <c r="J223" s="18">
        <f>IF(I223&lt;=설정!$B$42, 1, (설정!$B$41-I223)/(설정!$B$41-설정!$B$42))</f>
        <v/>
      </c>
      <c r="K223" s="18">
        <f>J223*E223</f>
        <v/>
      </c>
      <c r="L223" s="17">
        <f>MIN(I223+K223, 설정!$B$41)</f>
        <v/>
      </c>
      <c r="M223" s="8">
        <f>IF(L223&gt;=설정!$B$42,"●","")</f>
        <v/>
      </c>
      <c r="N223" s="17">
        <f>IF(M223="●",L223,0)</f>
        <v/>
      </c>
      <c r="O223" s="17">
        <f>IF(N223&gt;0,N223/설정!$B$44,0)</f>
        <v/>
      </c>
    </row>
    <row r="224">
      <c r="A224" s="15">
        <f>계산과정!A224</f>
        <v/>
      </c>
      <c r="B224" s="11">
        <f>계산과정!V224</f>
        <v/>
      </c>
      <c r="C224" s="12">
        <f>계산과정!W224</f>
        <v/>
      </c>
      <c r="D224" s="18">
        <f>계산과정!U224</f>
        <v/>
      </c>
      <c r="E224" s="18">
        <f>D224*C224</f>
        <v/>
      </c>
      <c r="F224" s="17">
        <f>원데이터!N224</f>
        <v/>
      </c>
      <c r="G224" s="17">
        <f>L223</f>
        <v/>
      </c>
      <c r="H224" s="17">
        <f>MAX(F224-G224, 0)</f>
        <v/>
      </c>
      <c r="I224" s="17">
        <f>MAX(G224-F224, 0)</f>
        <v/>
      </c>
      <c r="J224" s="18">
        <f>IF(I224&lt;=설정!$B$42, 1, (설정!$B$41-I224)/(설정!$B$41-설정!$B$42))</f>
        <v/>
      </c>
      <c r="K224" s="18">
        <f>J224*E224</f>
        <v/>
      </c>
      <c r="L224" s="17">
        <f>MIN(I224+K224, 설정!$B$41)</f>
        <v/>
      </c>
      <c r="M224" s="8">
        <f>IF(L224&gt;=설정!$B$42,"●","")</f>
        <v/>
      </c>
      <c r="N224" s="17">
        <f>IF(M224="●",L224,0)</f>
        <v/>
      </c>
      <c r="O224" s="17">
        <f>IF(N224&gt;0,N224/설정!$B$44,0)</f>
        <v/>
      </c>
    </row>
    <row r="225">
      <c r="A225" s="15">
        <f>계산과정!A225</f>
        <v/>
      </c>
      <c r="B225" s="11">
        <f>계산과정!V225</f>
        <v/>
      </c>
      <c r="C225" s="12">
        <f>계산과정!W225</f>
        <v/>
      </c>
      <c r="D225" s="18">
        <f>계산과정!U225</f>
        <v/>
      </c>
      <c r="E225" s="18">
        <f>D225*C225</f>
        <v/>
      </c>
      <c r="F225" s="17">
        <f>원데이터!N225</f>
        <v/>
      </c>
      <c r="G225" s="17">
        <f>L224</f>
        <v/>
      </c>
      <c r="H225" s="17">
        <f>MAX(F225-G225, 0)</f>
        <v/>
      </c>
      <c r="I225" s="17">
        <f>MAX(G225-F225, 0)</f>
        <v/>
      </c>
      <c r="J225" s="18">
        <f>IF(I225&lt;=설정!$B$42, 1, (설정!$B$41-I225)/(설정!$B$41-설정!$B$42))</f>
        <v/>
      </c>
      <c r="K225" s="18">
        <f>J225*E225</f>
        <v/>
      </c>
      <c r="L225" s="17">
        <f>MIN(I225+K225, 설정!$B$41)</f>
        <v/>
      </c>
      <c r="M225" s="8">
        <f>IF(L225&gt;=설정!$B$42,"●","")</f>
        <v/>
      </c>
      <c r="N225" s="17">
        <f>IF(M225="●",L225,0)</f>
        <v/>
      </c>
      <c r="O225" s="17">
        <f>IF(N225&gt;0,N225/설정!$B$44,0)</f>
        <v/>
      </c>
    </row>
    <row r="226">
      <c r="A226" s="15">
        <f>계산과정!A226</f>
        <v/>
      </c>
      <c r="B226" s="11">
        <f>계산과정!V226</f>
        <v/>
      </c>
      <c r="C226" s="12">
        <f>계산과정!W226</f>
        <v/>
      </c>
      <c r="D226" s="18">
        <f>계산과정!U226</f>
        <v/>
      </c>
      <c r="E226" s="18">
        <f>D226*C226</f>
        <v/>
      </c>
      <c r="F226" s="17">
        <f>원데이터!N226</f>
        <v/>
      </c>
      <c r="G226" s="17">
        <f>L225</f>
        <v/>
      </c>
      <c r="H226" s="17">
        <f>MAX(F226-G226, 0)</f>
        <v/>
      </c>
      <c r="I226" s="17">
        <f>MAX(G226-F226, 0)</f>
        <v/>
      </c>
      <c r="J226" s="18">
        <f>IF(I226&lt;=설정!$B$42, 1, (설정!$B$41-I226)/(설정!$B$41-설정!$B$42))</f>
        <v/>
      </c>
      <c r="K226" s="18">
        <f>J226*E226</f>
        <v/>
      </c>
      <c r="L226" s="17">
        <f>MIN(I226+K226, 설정!$B$41)</f>
        <v/>
      </c>
      <c r="M226" s="8">
        <f>IF(L226&gt;=설정!$B$42,"●","")</f>
        <v/>
      </c>
      <c r="N226" s="17">
        <f>IF(M226="●",L226,0)</f>
        <v/>
      </c>
      <c r="O226" s="17">
        <f>IF(N226&gt;0,N226/설정!$B$44,0)</f>
        <v/>
      </c>
    </row>
    <row r="227">
      <c r="A227" s="15">
        <f>계산과정!A227</f>
        <v/>
      </c>
      <c r="B227" s="11">
        <f>계산과정!V227</f>
        <v/>
      </c>
      <c r="C227" s="12">
        <f>계산과정!W227</f>
        <v/>
      </c>
      <c r="D227" s="18">
        <f>계산과정!U227</f>
        <v/>
      </c>
      <c r="E227" s="18">
        <f>D227*C227</f>
        <v/>
      </c>
      <c r="F227" s="17">
        <f>원데이터!N227</f>
        <v/>
      </c>
      <c r="G227" s="17">
        <f>L226</f>
        <v/>
      </c>
      <c r="H227" s="17">
        <f>MAX(F227-G227, 0)</f>
        <v/>
      </c>
      <c r="I227" s="17">
        <f>MAX(G227-F227, 0)</f>
        <v/>
      </c>
      <c r="J227" s="18">
        <f>IF(I227&lt;=설정!$B$42, 1, (설정!$B$41-I227)/(설정!$B$41-설정!$B$42))</f>
        <v/>
      </c>
      <c r="K227" s="18">
        <f>J227*E227</f>
        <v/>
      </c>
      <c r="L227" s="17">
        <f>MIN(I227+K227, 설정!$B$41)</f>
        <v/>
      </c>
      <c r="M227" s="8">
        <f>IF(L227&gt;=설정!$B$42,"●","")</f>
        <v/>
      </c>
      <c r="N227" s="17">
        <f>IF(M227="●",L227,0)</f>
        <v/>
      </c>
      <c r="O227" s="17">
        <f>IF(N227&gt;0,N227/설정!$B$44,0)</f>
        <v/>
      </c>
    </row>
    <row r="228">
      <c r="A228" s="15">
        <f>계산과정!A228</f>
        <v/>
      </c>
      <c r="B228" s="11">
        <f>계산과정!V228</f>
        <v/>
      </c>
      <c r="C228" s="12">
        <f>계산과정!W228</f>
        <v/>
      </c>
      <c r="D228" s="18">
        <f>계산과정!U228</f>
        <v/>
      </c>
      <c r="E228" s="18">
        <f>D228*C228</f>
        <v/>
      </c>
      <c r="F228" s="17">
        <f>원데이터!N228</f>
        <v/>
      </c>
      <c r="G228" s="17">
        <f>L227</f>
        <v/>
      </c>
      <c r="H228" s="17">
        <f>MAX(F228-G228, 0)</f>
        <v/>
      </c>
      <c r="I228" s="17">
        <f>MAX(G228-F228, 0)</f>
        <v/>
      </c>
      <c r="J228" s="18">
        <f>IF(I228&lt;=설정!$B$42, 1, (설정!$B$41-I228)/(설정!$B$41-설정!$B$42))</f>
        <v/>
      </c>
      <c r="K228" s="18">
        <f>J228*E228</f>
        <v/>
      </c>
      <c r="L228" s="17">
        <f>MIN(I228+K228, 설정!$B$41)</f>
        <v/>
      </c>
      <c r="M228" s="8">
        <f>IF(L228&gt;=설정!$B$42,"●","")</f>
        <v/>
      </c>
      <c r="N228" s="17">
        <f>IF(M228="●",L228,0)</f>
        <v/>
      </c>
      <c r="O228" s="17">
        <f>IF(N228&gt;0,N228/설정!$B$44,0)</f>
        <v/>
      </c>
    </row>
    <row r="229">
      <c r="A229" s="15">
        <f>계산과정!A229</f>
        <v/>
      </c>
      <c r="B229" s="11">
        <f>계산과정!V229</f>
        <v/>
      </c>
      <c r="C229" s="12">
        <f>계산과정!W229</f>
        <v/>
      </c>
      <c r="D229" s="18">
        <f>계산과정!U229</f>
        <v/>
      </c>
      <c r="E229" s="18">
        <f>D229*C229</f>
        <v/>
      </c>
      <c r="F229" s="17">
        <f>원데이터!N229</f>
        <v/>
      </c>
      <c r="G229" s="17">
        <f>L228</f>
        <v/>
      </c>
      <c r="H229" s="17">
        <f>MAX(F229-G229, 0)</f>
        <v/>
      </c>
      <c r="I229" s="17">
        <f>MAX(G229-F229, 0)</f>
        <v/>
      </c>
      <c r="J229" s="18">
        <f>IF(I229&lt;=설정!$B$42, 1, (설정!$B$41-I229)/(설정!$B$41-설정!$B$42))</f>
        <v/>
      </c>
      <c r="K229" s="18">
        <f>J229*E229</f>
        <v/>
      </c>
      <c r="L229" s="17">
        <f>MIN(I229+K229, 설정!$B$41)</f>
        <v/>
      </c>
      <c r="M229" s="8">
        <f>IF(L229&gt;=설정!$B$42,"●","")</f>
        <v/>
      </c>
      <c r="N229" s="17">
        <f>IF(M229="●",L229,0)</f>
        <v/>
      </c>
      <c r="O229" s="17">
        <f>IF(N229&gt;0,N229/설정!$B$44,0)</f>
        <v/>
      </c>
    </row>
    <row r="230">
      <c r="A230" s="15">
        <f>계산과정!A230</f>
        <v/>
      </c>
      <c r="B230" s="11">
        <f>계산과정!V230</f>
        <v/>
      </c>
      <c r="C230" s="12">
        <f>계산과정!W230</f>
        <v/>
      </c>
      <c r="D230" s="18">
        <f>계산과정!U230</f>
        <v/>
      </c>
      <c r="E230" s="18">
        <f>D230*C230</f>
        <v/>
      </c>
      <c r="F230" s="17">
        <f>원데이터!N230</f>
        <v/>
      </c>
      <c r="G230" s="17">
        <f>L229</f>
        <v/>
      </c>
      <c r="H230" s="17">
        <f>MAX(F230-G230, 0)</f>
        <v/>
      </c>
      <c r="I230" s="17">
        <f>MAX(G230-F230, 0)</f>
        <v/>
      </c>
      <c r="J230" s="18">
        <f>IF(I230&lt;=설정!$B$42, 1, (설정!$B$41-I230)/(설정!$B$41-설정!$B$42))</f>
        <v/>
      </c>
      <c r="K230" s="18">
        <f>J230*E230</f>
        <v/>
      </c>
      <c r="L230" s="17">
        <f>MIN(I230+K230, 설정!$B$41)</f>
        <v/>
      </c>
      <c r="M230" s="8">
        <f>IF(L230&gt;=설정!$B$42,"●","")</f>
        <v/>
      </c>
      <c r="N230" s="17">
        <f>IF(M230="●",L230,0)</f>
        <v/>
      </c>
      <c r="O230" s="17">
        <f>IF(N230&gt;0,N230/설정!$B$44,0)</f>
        <v/>
      </c>
    </row>
    <row r="231">
      <c r="A231" s="15">
        <f>계산과정!A231</f>
        <v/>
      </c>
      <c r="B231" s="11">
        <f>계산과정!V231</f>
        <v/>
      </c>
      <c r="C231" s="12">
        <f>계산과정!W231</f>
        <v/>
      </c>
      <c r="D231" s="18">
        <f>계산과정!U231</f>
        <v/>
      </c>
      <c r="E231" s="18">
        <f>D231*C231</f>
        <v/>
      </c>
      <c r="F231" s="17">
        <f>원데이터!N231</f>
        <v/>
      </c>
      <c r="G231" s="17">
        <f>L230</f>
        <v/>
      </c>
      <c r="H231" s="17">
        <f>MAX(F231-G231, 0)</f>
        <v/>
      </c>
      <c r="I231" s="17">
        <f>MAX(G231-F231, 0)</f>
        <v/>
      </c>
      <c r="J231" s="18">
        <f>IF(I231&lt;=설정!$B$42, 1, (설정!$B$41-I231)/(설정!$B$41-설정!$B$42))</f>
        <v/>
      </c>
      <c r="K231" s="18">
        <f>J231*E231</f>
        <v/>
      </c>
      <c r="L231" s="17">
        <f>MIN(I231+K231, 설정!$B$41)</f>
        <v/>
      </c>
      <c r="M231" s="8">
        <f>IF(L231&gt;=설정!$B$42,"●","")</f>
        <v/>
      </c>
      <c r="N231" s="17">
        <f>IF(M231="●",L231,0)</f>
        <v/>
      </c>
      <c r="O231" s="17">
        <f>IF(N231&gt;0,N231/설정!$B$44,0)</f>
        <v/>
      </c>
    </row>
    <row r="232">
      <c r="A232" s="15">
        <f>계산과정!A232</f>
        <v/>
      </c>
      <c r="B232" s="11">
        <f>계산과정!V232</f>
        <v/>
      </c>
      <c r="C232" s="12">
        <f>계산과정!W232</f>
        <v/>
      </c>
      <c r="D232" s="18">
        <f>계산과정!U232</f>
        <v/>
      </c>
      <c r="E232" s="18">
        <f>D232*C232</f>
        <v/>
      </c>
      <c r="F232" s="17">
        <f>원데이터!N232</f>
        <v/>
      </c>
      <c r="G232" s="17">
        <f>L231</f>
        <v/>
      </c>
      <c r="H232" s="17">
        <f>MAX(F232-G232, 0)</f>
        <v/>
      </c>
      <c r="I232" s="17">
        <f>MAX(G232-F232, 0)</f>
        <v/>
      </c>
      <c r="J232" s="18">
        <f>IF(I232&lt;=설정!$B$42, 1, (설정!$B$41-I232)/(설정!$B$41-설정!$B$42))</f>
        <v/>
      </c>
      <c r="K232" s="18">
        <f>J232*E232</f>
        <v/>
      </c>
      <c r="L232" s="17">
        <f>MIN(I232+K232, 설정!$B$41)</f>
        <v/>
      </c>
      <c r="M232" s="8">
        <f>IF(L232&gt;=설정!$B$42,"●","")</f>
        <v/>
      </c>
      <c r="N232" s="17">
        <f>IF(M232="●",L232,0)</f>
        <v/>
      </c>
      <c r="O232" s="17">
        <f>IF(N232&gt;0,N232/설정!$B$44,0)</f>
        <v/>
      </c>
    </row>
    <row r="233">
      <c r="A233" s="15">
        <f>계산과정!A233</f>
        <v/>
      </c>
      <c r="B233" s="11">
        <f>계산과정!V233</f>
        <v/>
      </c>
      <c r="C233" s="12">
        <f>계산과정!W233</f>
        <v/>
      </c>
      <c r="D233" s="18">
        <f>계산과정!U233</f>
        <v/>
      </c>
      <c r="E233" s="18">
        <f>D233*C233</f>
        <v/>
      </c>
      <c r="F233" s="17">
        <f>원데이터!N233</f>
        <v/>
      </c>
      <c r="G233" s="17">
        <f>L232</f>
        <v/>
      </c>
      <c r="H233" s="17">
        <f>MAX(F233-G233, 0)</f>
        <v/>
      </c>
      <c r="I233" s="17">
        <f>MAX(G233-F233, 0)</f>
        <v/>
      </c>
      <c r="J233" s="18">
        <f>IF(I233&lt;=설정!$B$42, 1, (설정!$B$41-I233)/(설정!$B$41-설정!$B$42))</f>
        <v/>
      </c>
      <c r="K233" s="18">
        <f>J233*E233</f>
        <v/>
      </c>
      <c r="L233" s="17">
        <f>MIN(I233+K233, 설정!$B$41)</f>
        <v/>
      </c>
      <c r="M233" s="8">
        <f>IF(L233&gt;=설정!$B$42,"●","")</f>
        <v/>
      </c>
      <c r="N233" s="17">
        <f>IF(M233="●",L233,0)</f>
        <v/>
      </c>
      <c r="O233" s="17">
        <f>IF(N233&gt;0,N233/설정!$B$44,0)</f>
        <v/>
      </c>
    </row>
    <row r="234">
      <c r="A234" s="15">
        <f>계산과정!A234</f>
        <v/>
      </c>
      <c r="B234" s="11">
        <f>계산과정!V234</f>
        <v/>
      </c>
      <c r="C234" s="12">
        <f>계산과정!W234</f>
        <v/>
      </c>
      <c r="D234" s="18">
        <f>계산과정!U234</f>
        <v/>
      </c>
      <c r="E234" s="18">
        <f>D234*C234</f>
        <v/>
      </c>
      <c r="F234" s="17">
        <f>원데이터!N234</f>
        <v/>
      </c>
      <c r="G234" s="17">
        <f>L233</f>
        <v/>
      </c>
      <c r="H234" s="17">
        <f>MAX(F234-G234, 0)</f>
        <v/>
      </c>
      <c r="I234" s="17">
        <f>MAX(G234-F234, 0)</f>
        <v/>
      </c>
      <c r="J234" s="18">
        <f>IF(I234&lt;=설정!$B$42, 1, (설정!$B$41-I234)/(설정!$B$41-설정!$B$42))</f>
        <v/>
      </c>
      <c r="K234" s="18">
        <f>J234*E234</f>
        <v/>
      </c>
      <c r="L234" s="17">
        <f>MIN(I234+K234, 설정!$B$41)</f>
        <v/>
      </c>
      <c r="M234" s="8">
        <f>IF(L234&gt;=설정!$B$42,"●","")</f>
        <v/>
      </c>
      <c r="N234" s="17">
        <f>IF(M234="●",L234,0)</f>
        <v/>
      </c>
      <c r="O234" s="17">
        <f>IF(N234&gt;0,N234/설정!$B$44,0)</f>
        <v/>
      </c>
    </row>
    <row r="235">
      <c r="A235" s="15">
        <f>계산과정!A235</f>
        <v/>
      </c>
      <c r="B235" s="11">
        <f>계산과정!V235</f>
        <v/>
      </c>
      <c r="C235" s="12">
        <f>계산과정!W235</f>
        <v/>
      </c>
      <c r="D235" s="18">
        <f>계산과정!U235</f>
        <v/>
      </c>
      <c r="E235" s="18">
        <f>D235*C235</f>
        <v/>
      </c>
      <c r="F235" s="17">
        <f>원데이터!N235</f>
        <v/>
      </c>
      <c r="G235" s="17">
        <f>L234</f>
        <v/>
      </c>
      <c r="H235" s="17">
        <f>MAX(F235-G235, 0)</f>
        <v/>
      </c>
      <c r="I235" s="17">
        <f>MAX(G235-F235, 0)</f>
        <v/>
      </c>
      <c r="J235" s="18">
        <f>IF(I235&lt;=설정!$B$42, 1, (설정!$B$41-I235)/(설정!$B$41-설정!$B$42))</f>
        <v/>
      </c>
      <c r="K235" s="18">
        <f>J235*E235</f>
        <v/>
      </c>
      <c r="L235" s="17">
        <f>MIN(I235+K235, 설정!$B$41)</f>
        <v/>
      </c>
      <c r="M235" s="8">
        <f>IF(L235&gt;=설정!$B$42,"●","")</f>
        <v/>
      </c>
      <c r="N235" s="17">
        <f>IF(M235="●",L235,0)</f>
        <v/>
      </c>
      <c r="O235" s="17">
        <f>IF(N235&gt;0,N235/설정!$B$44,0)</f>
        <v/>
      </c>
    </row>
    <row r="236">
      <c r="A236" s="15">
        <f>계산과정!A236</f>
        <v/>
      </c>
      <c r="B236" s="11">
        <f>계산과정!V236</f>
        <v/>
      </c>
      <c r="C236" s="12">
        <f>계산과정!W236</f>
        <v/>
      </c>
      <c r="D236" s="18">
        <f>계산과정!U236</f>
        <v/>
      </c>
      <c r="E236" s="18">
        <f>D236*C236</f>
        <v/>
      </c>
      <c r="F236" s="17">
        <f>원데이터!N236</f>
        <v/>
      </c>
      <c r="G236" s="17">
        <f>L235</f>
        <v/>
      </c>
      <c r="H236" s="17">
        <f>MAX(F236-G236, 0)</f>
        <v/>
      </c>
      <c r="I236" s="17">
        <f>MAX(G236-F236, 0)</f>
        <v/>
      </c>
      <c r="J236" s="18">
        <f>IF(I236&lt;=설정!$B$42, 1, (설정!$B$41-I236)/(설정!$B$41-설정!$B$42))</f>
        <v/>
      </c>
      <c r="K236" s="18">
        <f>J236*E236</f>
        <v/>
      </c>
      <c r="L236" s="17">
        <f>MIN(I236+K236, 설정!$B$41)</f>
        <v/>
      </c>
      <c r="M236" s="8">
        <f>IF(L236&gt;=설정!$B$42,"●","")</f>
        <v/>
      </c>
      <c r="N236" s="17">
        <f>IF(M236="●",L236,0)</f>
        <v/>
      </c>
      <c r="O236" s="17">
        <f>IF(N236&gt;0,N236/설정!$B$44,0)</f>
        <v/>
      </c>
    </row>
    <row r="237">
      <c r="A237" s="15">
        <f>계산과정!A237</f>
        <v/>
      </c>
      <c r="B237" s="11">
        <f>계산과정!V237</f>
        <v/>
      </c>
      <c r="C237" s="12">
        <f>계산과정!W237</f>
        <v/>
      </c>
      <c r="D237" s="18">
        <f>계산과정!U237</f>
        <v/>
      </c>
      <c r="E237" s="18">
        <f>D237*C237</f>
        <v/>
      </c>
      <c r="F237" s="17">
        <f>원데이터!N237</f>
        <v/>
      </c>
      <c r="G237" s="17">
        <f>L236</f>
        <v/>
      </c>
      <c r="H237" s="17">
        <f>MAX(F237-G237, 0)</f>
        <v/>
      </c>
      <c r="I237" s="17">
        <f>MAX(G237-F237, 0)</f>
        <v/>
      </c>
      <c r="J237" s="18">
        <f>IF(I237&lt;=설정!$B$42, 1, (설정!$B$41-I237)/(설정!$B$41-설정!$B$42))</f>
        <v/>
      </c>
      <c r="K237" s="18">
        <f>J237*E237</f>
        <v/>
      </c>
      <c r="L237" s="17">
        <f>MIN(I237+K237, 설정!$B$41)</f>
        <v/>
      </c>
      <c r="M237" s="8">
        <f>IF(L237&gt;=설정!$B$42,"●","")</f>
        <v/>
      </c>
      <c r="N237" s="17">
        <f>IF(M237="●",L237,0)</f>
        <v/>
      </c>
      <c r="O237" s="17">
        <f>IF(N237&gt;0,N237/설정!$B$44,0)</f>
        <v/>
      </c>
    </row>
    <row r="238">
      <c r="A238" s="15">
        <f>계산과정!A238</f>
        <v/>
      </c>
      <c r="B238" s="11">
        <f>계산과정!V238</f>
        <v/>
      </c>
      <c r="C238" s="12">
        <f>계산과정!W238</f>
        <v/>
      </c>
      <c r="D238" s="18">
        <f>계산과정!U238</f>
        <v/>
      </c>
      <c r="E238" s="18">
        <f>D238*C238</f>
        <v/>
      </c>
      <c r="F238" s="17">
        <f>원데이터!N238</f>
        <v/>
      </c>
      <c r="G238" s="17">
        <f>L237</f>
        <v/>
      </c>
      <c r="H238" s="17">
        <f>MAX(F238-G238, 0)</f>
        <v/>
      </c>
      <c r="I238" s="17">
        <f>MAX(G238-F238, 0)</f>
        <v/>
      </c>
      <c r="J238" s="18">
        <f>IF(I238&lt;=설정!$B$42, 1, (설정!$B$41-I238)/(설정!$B$41-설정!$B$42))</f>
        <v/>
      </c>
      <c r="K238" s="18">
        <f>J238*E238</f>
        <v/>
      </c>
      <c r="L238" s="17">
        <f>MIN(I238+K238, 설정!$B$41)</f>
        <v/>
      </c>
      <c r="M238" s="8">
        <f>IF(L238&gt;=설정!$B$42,"●","")</f>
        <v/>
      </c>
      <c r="N238" s="17">
        <f>IF(M238="●",L238,0)</f>
        <v/>
      </c>
      <c r="O238" s="17">
        <f>IF(N238&gt;0,N238/설정!$B$44,0)</f>
        <v/>
      </c>
    </row>
    <row r="239">
      <c r="A239" s="15">
        <f>계산과정!A239</f>
        <v/>
      </c>
      <c r="B239" s="11">
        <f>계산과정!V239</f>
        <v/>
      </c>
      <c r="C239" s="12">
        <f>계산과정!W239</f>
        <v/>
      </c>
      <c r="D239" s="18">
        <f>계산과정!U239</f>
        <v/>
      </c>
      <c r="E239" s="18">
        <f>D239*C239</f>
        <v/>
      </c>
      <c r="F239" s="17">
        <f>원데이터!N239</f>
        <v/>
      </c>
      <c r="G239" s="17">
        <f>L238</f>
        <v/>
      </c>
      <c r="H239" s="17">
        <f>MAX(F239-G239, 0)</f>
        <v/>
      </c>
      <c r="I239" s="17">
        <f>MAX(G239-F239, 0)</f>
        <v/>
      </c>
      <c r="J239" s="18">
        <f>IF(I239&lt;=설정!$B$42, 1, (설정!$B$41-I239)/(설정!$B$41-설정!$B$42))</f>
        <v/>
      </c>
      <c r="K239" s="18">
        <f>J239*E239</f>
        <v/>
      </c>
      <c r="L239" s="17">
        <f>MIN(I239+K239, 설정!$B$41)</f>
        <v/>
      </c>
      <c r="M239" s="8">
        <f>IF(L239&gt;=설정!$B$42,"●","")</f>
        <v/>
      </c>
      <c r="N239" s="17">
        <f>IF(M239="●",L239,0)</f>
        <v/>
      </c>
      <c r="O239" s="17">
        <f>IF(N239&gt;0,N239/설정!$B$44,0)</f>
        <v/>
      </c>
    </row>
    <row r="240">
      <c r="A240" s="15">
        <f>계산과정!A240</f>
        <v/>
      </c>
      <c r="B240" s="11">
        <f>계산과정!V240</f>
        <v/>
      </c>
      <c r="C240" s="12">
        <f>계산과정!W240</f>
        <v/>
      </c>
      <c r="D240" s="18">
        <f>계산과정!U240</f>
        <v/>
      </c>
      <c r="E240" s="18">
        <f>D240*C240</f>
        <v/>
      </c>
      <c r="F240" s="17">
        <f>원데이터!N240</f>
        <v/>
      </c>
      <c r="G240" s="17">
        <f>L239</f>
        <v/>
      </c>
      <c r="H240" s="17">
        <f>MAX(F240-G240, 0)</f>
        <v/>
      </c>
      <c r="I240" s="17">
        <f>MAX(G240-F240, 0)</f>
        <v/>
      </c>
      <c r="J240" s="18">
        <f>IF(I240&lt;=설정!$B$42, 1, (설정!$B$41-I240)/(설정!$B$41-설정!$B$42))</f>
        <v/>
      </c>
      <c r="K240" s="18">
        <f>J240*E240</f>
        <v/>
      </c>
      <c r="L240" s="17">
        <f>MIN(I240+K240, 설정!$B$41)</f>
        <v/>
      </c>
      <c r="M240" s="8">
        <f>IF(L240&gt;=설정!$B$42,"●","")</f>
        <v/>
      </c>
      <c r="N240" s="17">
        <f>IF(M240="●",L240,0)</f>
        <v/>
      </c>
      <c r="O240" s="17">
        <f>IF(N240&gt;0,N240/설정!$B$44,0)</f>
        <v/>
      </c>
    </row>
    <row r="241">
      <c r="A241" s="15">
        <f>계산과정!A241</f>
        <v/>
      </c>
      <c r="B241" s="11">
        <f>계산과정!V241</f>
        <v/>
      </c>
      <c r="C241" s="12">
        <f>계산과정!W241</f>
        <v/>
      </c>
      <c r="D241" s="18">
        <f>계산과정!U241</f>
        <v/>
      </c>
      <c r="E241" s="18">
        <f>D241*C241</f>
        <v/>
      </c>
      <c r="F241" s="17">
        <f>원데이터!N241</f>
        <v/>
      </c>
      <c r="G241" s="17">
        <f>L240</f>
        <v/>
      </c>
      <c r="H241" s="17">
        <f>MAX(F241-G241, 0)</f>
        <v/>
      </c>
      <c r="I241" s="17">
        <f>MAX(G241-F241, 0)</f>
        <v/>
      </c>
      <c r="J241" s="18">
        <f>IF(I241&lt;=설정!$B$42, 1, (설정!$B$41-I241)/(설정!$B$41-설정!$B$42))</f>
        <v/>
      </c>
      <c r="K241" s="18">
        <f>J241*E241</f>
        <v/>
      </c>
      <c r="L241" s="17">
        <f>MIN(I241+K241, 설정!$B$41)</f>
        <v/>
      </c>
      <c r="M241" s="8">
        <f>IF(L241&gt;=설정!$B$42,"●","")</f>
        <v/>
      </c>
      <c r="N241" s="17">
        <f>IF(M241="●",L241,0)</f>
        <v/>
      </c>
      <c r="O241" s="17">
        <f>IF(N241&gt;0,N241/설정!$B$44,0)</f>
        <v/>
      </c>
    </row>
    <row r="242">
      <c r="A242" s="15">
        <f>계산과정!A242</f>
        <v/>
      </c>
      <c r="B242" s="11">
        <f>계산과정!V242</f>
        <v/>
      </c>
      <c r="C242" s="12">
        <f>계산과정!W242</f>
        <v/>
      </c>
      <c r="D242" s="18">
        <f>계산과정!U242</f>
        <v/>
      </c>
      <c r="E242" s="18">
        <f>D242*C242</f>
        <v/>
      </c>
      <c r="F242" s="17">
        <f>원데이터!N242</f>
        <v/>
      </c>
      <c r="G242" s="17">
        <f>L241</f>
        <v/>
      </c>
      <c r="H242" s="17">
        <f>MAX(F242-G242, 0)</f>
        <v/>
      </c>
      <c r="I242" s="17">
        <f>MAX(G242-F242, 0)</f>
        <v/>
      </c>
      <c r="J242" s="18">
        <f>IF(I242&lt;=설정!$B$42, 1, (설정!$B$41-I242)/(설정!$B$41-설정!$B$42))</f>
        <v/>
      </c>
      <c r="K242" s="18">
        <f>J242*E242</f>
        <v/>
      </c>
      <c r="L242" s="17">
        <f>MIN(I242+K242, 설정!$B$41)</f>
        <v/>
      </c>
      <c r="M242" s="8">
        <f>IF(L242&gt;=설정!$B$42,"●","")</f>
        <v/>
      </c>
      <c r="N242" s="17">
        <f>IF(M242="●",L242,0)</f>
        <v/>
      </c>
      <c r="O242" s="17">
        <f>IF(N242&gt;0,N242/설정!$B$44,0)</f>
        <v/>
      </c>
    </row>
    <row r="243">
      <c r="A243" s="15">
        <f>계산과정!A243</f>
        <v/>
      </c>
      <c r="B243" s="11">
        <f>계산과정!V243</f>
        <v/>
      </c>
      <c r="C243" s="12">
        <f>계산과정!W243</f>
        <v/>
      </c>
      <c r="D243" s="18">
        <f>계산과정!U243</f>
        <v/>
      </c>
      <c r="E243" s="18">
        <f>D243*C243</f>
        <v/>
      </c>
      <c r="F243" s="17">
        <f>원데이터!N243</f>
        <v/>
      </c>
      <c r="G243" s="17">
        <f>L242</f>
        <v/>
      </c>
      <c r="H243" s="17">
        <f>MAX(F243-G243, 0)</f>
        <v/>
      </c>
      <c r="I243" s="17">
        <f>MAX(G243-F243, 0)</f>
        <v/>
      </c>
      <c r="J243" s="18">
        <f>IF(I243&lt;=설정!$B$42, 1, (설정!$B$41-I243)/(설정!$B$41-설정!$B$42))</f>
        <v/>
      </c>
      <c r="K243" s="18">
        <f>J243*E243</f>
        <v/>
      </c>
      <c r="L243" s="17">
        <f>MIN(I243+K243, 설정!$B$41)</f>
        <v/>
      </c>
      <c r="M243" s="8">
        <f>IF(L243&gt;=설정!$B$42,"●","")</f>
        <v/>
      </c>
      <c r="N243" s="17">
        <f>IF(M243="●",L243,0)</f>
        <v/>
      </c>
      <c r="O243" s="17">
        <f>IF(N243&gt;0,N243/설정!$B$44,0)</f>
        <v/>
      </c>
    </row>
    <row r="244">
      <c r="A244" s="15">
        <f>계산과정!A244</f>
        <v/>
      </c>
      <c r="B244" s="11">
        <f>계산과정!V244</f>
        <v/>
      </c>
      <c r="C244" s="12">
        <f>계산과정!W244</f>
        <v/>
      </c>
      <c r="D244" s="18">
        <f>계산과정!U244</f>
        <v/>
      </c>
      <c r="E244" s="18">
        <f>D244*C244</f>
        <v/>
      </c>
      <c r="F244" s="17">
        <f>원데이터!N244</f>
        <v/>
      </c>
      <c r="G244" s="17">
        <f>L243</f>
        <v/>
      </c>
      <c r="H244" s="17">
        <f>MAX(F244-G244, 0)</f>
        <v/>
      </c>
      <c r="I244" s="17">
        <f>MAX(G244-F244, 0)</f>
        <v/>
      </c>
      <c r="J244" s="18">
        <f>IF(I244&lt;=설정!$B$42, 1, (설정!$B$41-I244)/(설정!$B$41-설정!$B$42))</f>
        <v/>
      </c>
      <c r="K244" s="18">
        <f>J244*E244</f>
        <v/>
      </c>
      <c r="L244" s="17">
        <f>MIN(I244+K244, 설정!$B$41)</f>
        <v/>
      </c>
      <c r="M244" s="8">
        <f>IF(L244&gt;=설정!$B$42,"●","")</f>
        <v/>
      </c>
      <c r="N244" s="17">
        <f>IF(M244="●",L244,0)</f>
        <v/>
      </c>
      <c r="O244" s="17">
        <f>IF(N244&gt;0,N244/설정!$B$44,0)</f>
        <v/>
      </c>
    </row>
    <row r="245">
      <c r="A245" s="15">
        <f>계산과정!A245</f>
        <v/>
      </c>
      <c r="B245" s="11">
        <f>계산과정!V245</f>
        <v/>
      </c>
      <c r="C245" s="12">
        <f>계산과정!W245</f>
        <v/>
      </c>
      <c r="D245" s="18">
        <f>계산과정!U245</f>
        <v/>
      </c>
      <c r="E245" s="18">
        <f>D245*C245</f>
        <v/>
      </c>
      <c r="F245" s="17">
        <f>원데이터!N245</f>
        <v/>
      </c>
      <c r="G245" s="17">
        <f>L244</f>
        <v/>
      </c>
      <c r="H245" s="17">
        <f>MAX(F245-G245, 0)</f>
        <v/>
      </c>
      <c r="I245" s="17">
        <f>MAX(G245-F245, 0)</f>
        <v/>
      </c>
      <c r="J245" s="18">
        <f>IF(I245&lt;=설정!$B$42, 1, (설정!$B$41-I245)/(설정!$B$41-설정!$B$42))</f>
        <v/>
      </c>
      <c r="K245" s="18">
        <f>J245*E245</f>
        <v/>
      </c>
      <c r="L245" s="17">
        <f>MIN(I245+K245, 설정!$B$41)</f>
        <v/>
      </c>
      <c r="M245" s="8">
        <f>IF(L245&gt;=설정!$B$42,"●","")</f>
        <v/>
      </c>
      <c r="N245" s="17">
        <f>IF(M245="●",L245,0)</f>
        <v/>
      </c>
      <c r="O245" s="17">
        <f>IF(N245&gt;0,N245/설정!$B$44,0)</f>
        <v/>
      </c>
    </row>
    <row r="246">
      <c r="A246" s="15">
        <f>계산과정!A246</f>
        <v/>
      </c>
      <c r="B246" s="11">
        <f>계산과정!V246</f>
        <v/>
      </c>
      <c r="C246" s="12">
        <f>계산과정!W246</f>
        <v/>
      </c>
      <c r="D246" s="18">
        <f>계산과정!U246</f>
        <v/>
      </c>
      <c r="E246" s="18">
        <f>D246*C246</f>
        <v/>
      </c>
      <c r="F246" s="17">
        <f>원데이터!N246</f>
        <v/>
      </c>
      <c r="G246" s="17">
        <f>L245</f>
        <v/>
      </c>
      <c r="H246" s="17">
        <f>MAX(F246-G246, 0)</f>
        <v/>
      </c>
      <c r="I246" s="17">
        <f>MAX(G246-F246, 0)</f>
        <v/>
      </c>
      <c r="J246" s="18">
        <f>IF(I246&lt;=설정!$B$42, 1, (설정!$B$41-I246)/(설정!$B$41-설정!$B$42))</f>
        <v/>
      </c>
      <c r="K246" s="18">
        <f>J246*E246</f>
        <v/>
      </c>
      <c r="L246" s="17">
        <f>MIN(I246+K246, 설정!$B$41)</f>
        <v/>
      </c>
      <c r="M246" s="8">
        <f>IF(L246&gt;=설정!$B$42,"●","")</f>
        <v/>
      </c>
      <c r="N246" s="17">
        <f>IF(M246="●",L246,0)</f>
        <v/>
      </c>
      <c r="O246" s="17">
        <f>IF(N246&gt;0,N246/설정!$B$44,0)</f>
        <v/>
      </c>
    </row>
    <row r="247">
      <c r="A247" s="15">
        <f>계산과정!A247</f>
        <v/>
      </c>
      <c r="B247" s="11">
        <f>계산과정!V247</f>
        <v/>
      </c>
      <c r="C247" s="12">
        <f>계산과정!W247</f>
        <v/>
      </c>
      <c r="D247" s="18">
        <f>계산과정!U247</f>
        <v/>
      </c>
      <c r="E247" s="18">
        <f>D247*C247</f>
        <v/>
      </c>
      <c r="F247" s="17">
        <f>원데이터!N247</f>
        <v/>
      </c>
      <c r="G247" s="17">
        <f>L246</f>
        <v/>
      </c>
      <c r="H247" s="17">
        <f>MAX(F247-G247, 0)</f>
        <v/>
      </c>
      <c r="I247" s="17">
        <f>MAX(G247-F247, 0)</f>
        <v/>
      </c>
      <c r="J247" s="18">
        <f>IF(I247&lt;=설정!$B$42, 1, (설정!$B$41-I247)/(설정!$B$41-설정!$B$42))</f>
        <v/>
      </c>
      <c r="K247" s="18">
        <f>J247*E247</f>
        <v/>
      </c>
      <c r="L247" s="17">
        <f>MIN(I247+K247, 설정!$B$41)</f>
        <v/>
      </c>
      <c r="M247" s="8">
        <f>IF(L247&gt;=설정!$B$42,"●","")</f>
        <v/>
      </c>
      <c r="N247" s="17">
        <f>IF(M247="●",L247,0)</f>
        <v/>
      </c>
      <c r="O247" s="17">
        <f>IF(N247&gt;0,N247/설정!$B$44,0)</f>
        <v/>
      </c>
    </row>
    <row r="248">
      <c r="A248" s="15">
        <f>계산과정!A248</f>
        <v/>
      </c>
      <c r="B248" s="11">
        <f>계산과정!V248</f>
        <v/>
      </c>
      <c r="C248" s="12">
        <f>계산과정!W248</f>
        <v/>
      </c>
      <c r="D248" s="18">
        <f>계산과정!U248</f>
        <v/>
      </c>
      <c r="E248" s="18">
        <f>D248*C248</f>
        <v/>
      </c>
      <c r="F248" s="17">
        <f>원데이터!N248</f>
        <v/>
      </c>
      <c r="G248" s="17">
        <f>L247</f>
        <v/>
      </c>
      <c r="H248" s="17">
        <f>MAX(F248-G248, 0)</f>
        <v/>
      </c>
      <c r="I248" s="17">
        <f>MAX(G248-F248, 0)</f>
        <v/>
      </c>
      <c r="J248" s="18">
        <f>IF(I248&lt;=설정!$B$42, 1, (설정!$B$41-I248)/(설정!$B$41-설정!$B$42))</f>
        <v/>
      </c>
      <c r="K248" s="18">
        <f>J248*E248</f>
        <v/>
      </c>
      <c r="L248" s="17">
        <f>MIN(I248+K248, 설정!$B$41)</f>
        <v/>
      </c>
      <c r="M248" s="8">
        <f>IF(L248&gt;=설정!$B$42,"●","")</f>
        <v/>
      </c>
      <c r="N248" s="17">
        <f>IF(M248="●",L248,0)</f>
        <v/>
      </c>
      <c r="O248" s="17">
        <f>IF(N248&gt;0,N248/설정!$B$44,0)</f>
        <v/>
      </c>
    </row>
    <row r="249">
      <c r="A249" s="15">
        <f>계산과정!A249</f>
        <v/>
      </c>
      <c r="B249" s="11">
        <f>계산과정!V249</f>
        <v/>
      </c>
      <c r="C249" s="12">
        <f>계산과정!W249</f>
        <v/>
      </c>
      <c r="D249" s="18">
        <f>계산과정!U249</f>
        <v/>
      </c>
      <c r="E249" s="18">
        <f>D249*C249</f>
        <v/>
      </c>
      <c r="F249" s="17">
        <f>원데이터!N249</f>
        <v/>
      </c>
      <c r="G249" s="17">
        <f>L248</f>
        <v/>
      </c>
      <c r="H249" s="17">
        <f>MAX(F249-G249, 0)</f>
        <v/>
      </c>
      <c r="I249" s="17">
        <f>MAX(G249-F249, 0)</f>
        <v/>
      </c>
      <c r="J249" s="18">
        <f>IF(I249&lt;=설정!$B$42, 1, (설정!$B$41-I249)/(설정!$B$41-설정!$B$42))</f>
        <v/>
      </c>
      <c r="K249" s="18">
        <f>J249*E249</f>
        <v/>
      </c>
      <c r="L249" s="17">
        <f>MIN(I249+K249, 설정!$B$41)</f>
        <v/>
      </c>
      <c r="M249" s="8">
        <f>IF(L249&gt;=설정!$B$42,"●","")</f>
        <v/>
      </c>
      <c r="N249" s="17">
        <f>IF(M249="●",L249,0)</f>
        <v/>
      </c>
      <c r="O249" s="17">
        <f>IF(N249&gt;0,N249/설정!$B$44,0)</f>
        <v/>
      </c>
    </row>
    <row r="250">
      <c r="A250" s="15">
        <f>계산과정!A250</f>
        <v/>
      </c>
      <c r="B250" s="11">
        <f>계산과정!V250</f>
        <v/>
      </c>
      <c r="C250" s="12">
        <f>계산과정!W250</f>
        <v/>
      </c>
      <c r="D250" s="18">
        <f>계산과정!U250</f>
        <v/>
      </c>
      <c r="E250" s="18">
        <f>D250*C250</f>
        <v/>
      </c>
      <c r="F250" s="17">
        <f>원데이터!N250</f>
        <v/>
      </c>
      <c r="G250" s="17">
        <f>L249</f>
        <v/>
      </c>
      <c r="H250" s="17">
        <f>MAX(F250-G250, 0)</f>
        <v/>
      </c>
      <c r="I250" s="17">
        <f>MAX(G250-F250, 0)</f>
        <v/>
      </c>
      <c r="J250" s="18">
        <f>IF(I250&lt;=설정!$B$42, 1, (설정!$B$41-I250)/(설정!$B$41-설정!$B$42))</f>
        <v/>
      </c>
      <c r="K250" s="18">
        <f>J250*E250</f>
        <v/>
      </c>
      <c r="L250" s="17">
        <f>MIN(I250+K250, 설정!$B$41)</f>
        <v/>
      </c>
      <c r="M250" s="8">
        <f>IF(L250&gt;=설정!$B$42,"●","")</f>
        <v/>
      </c>
      <c r="N250" s="17">
        <f>IF(M250="●",L250,0)</f>
        <v/>
      </c>
      <c r="O250" s="17">
        <f>IF(N250&gt;0,N250/설정!$B$44,0)</f>
        <v/>
      </c>
    </row>
    <row r="251">
      <c r="A251" s="15">
        <f>계산과정!A251</f>
        <v/>
      </c>
      <c r="B251" s="11">
        <f>계산과정!V251</f>
        <v/>
      </c>
      <c r="C251" s="12">
        <f>계산과정!W251</f>
        <v/>
      </c>
      <c r="D251" s="18">
        <f>계산과정!U251</f>
        <v/>
      </c>
      <c r="E251" s="18">
        <f>D251*C251</f>
        <v/>
      </c>
      <c r="F251" s="17">
        <f>원데이터!N251</f>
        <v/>
      </c>
      <c r="G251" s="17">
        <f>L250</f>
        <v/>
      </c>
      <c r="H251" s="17">
        <f>MAX(F251-G251, 0)</f>
        <v/>
      </c>
      <c r="I251" s="17">
        <f>MAX(G251-F251, 0)</f>
        <v/>
      </c>
      <c r="J251" s="18">
        <f>IF(I251&lt;=설정!$B$42, 1, (설정!$B$41-I251)/(설정!$B$41-설정!$B$42))</f>
        <v/>
      </c>
      <c r="K251" s="18">
        <f>J251*E251</f>
        <v/>
      </c>
      <c r="L251" s="17">
        <f>MIN(I251+K251, 설정!$B$41)</f>
        <v/>
      </c>
      <c r="M251" s="8">
        <f>IF(L251&gt;=설정!$B$42,"●","")</f>
        <v/>
      </c>
      <c r="N251" s="17">
        <f>IF(M251="●",L251,0)</f>
        <v/>
      </c>
      <c r="O251" s="17">
        <f>IF(N251&gt;0,N251/설정!$B$44,0)</f>
        <v/>
      </c>
    </row>
    <row r="252">
      <c r="A252" s="15">
        <f>계산과정!A252</f>
        <v/>
      </c>
      <c r="B252" s="11">
        <f>계산과정!V252</f>
        <v/>
      </c>
      <c r="C252" s="12">
        <f>계산과정!W252</f>
        <v/>
      </c>
      <c r="D252" s="18">
        <f>계산과정!U252</f>
        <v/>
      </c>
      <c r="E252" s="18">
        <f>D252*C252</f>
        <v/>
      </c>
      <c r="F252" s="17">
        <f>원데이터!N252</f>
        <v/>
      </c>
      <c r="G252" s="17">
        <f>L251</f>
        <v/>
      </c>
      <c r="H252" s="17">
        <f>MAX(F252-G252, 0)</f>
        <v/>
      </c>
      <c r="I252" s="17">
        <f>MAX(G252-F252, 0)</f>
        <v/>
      </c>
      <c r="J252" s="18">
        <f>IF(I252&lt;=설정!$B$42, 1, (설정!$B$41-I252)/(설정!$B$41-설정!$B$42))</f>
        <v/>
      </c>
      <c r="K252" s="18">
        <f>J252*E252</f>
        <v/>
      </c>
      <c r="L252" s="17">
        <f>MIN(I252+K252, 설정!$B$41)</f>
        <v/>
      </c>
      <c r="M252" s="8">
        <f>IF(L252&gt;=설정!$B$42,"●","")</f>
        <v/>
      </c>
      <c r="N252" s="17">
        <f>IF(M252="●",L252,0)</f>
        <v/>
      </c>
      <c r="O252" s="17">
        <f>IF(N252&gt;0,N252/설정!$B$44,0)</f>
        <v/>
      </c>
    </row>
    <row r="253">
      <c r="A253" s="15">
        <f>계산과정!A253</f>
        <v/>
      </c>
      <c r="B253" s="11">
        <f>계산과정!V253</f>
        <v/>
      </c>
      <c r="C253" s="12">
        <f>계산과정!W253</f>
        <v/>
      </c>
      <c r="D253" s="18">
        <f>계산과정!U253</f>
        <v/>
      </c>
      <c r="E253" s="18">
        <f>D253*C253</f>
        <v/>
      </c>
      <c r="F253" s="17">
        <f>원데이터!N253</f>
        <v/>
      </c>
      <c r="G253" s="17">
        <f>L252</f>
        <v/>
      </c>
      <c r="H253" s="17">
        <f>MAX(F253-G253, 0)</f>
        <v/>
      </c>
      <c r="I253" s="17">
        <f>MAX(G253-F253, 0)</f>
        <v/>
      </c>
      <c r="J253" s="18">
        <f>IF(I253&lt;=설정!$B$42, 1, (설정!$B$41-I253)/(설정!$B$41-설정!$B$42))</f>
        <v/>
      </c>
      <c r="K253" s="18">
        <f>J253*E253</f>
        <v/>
      </c>
      <c r="L253" s="17">
        <f>MIN(I253+K253, 설정!$B$41)</f>
        <v/>
      </c>
      <c r="M253" s="8">
        <f>IF(L253&gt;=설정!$B$42,"●","")</f>
        <v/>
      </c>
      <c r="N253" s="17">
        <f>IF(M253="●",L253,0)</f>
        <v/>
      </c>
      <c r="O253" s="17">
        <f>IF(N253&gt;0,N253/설정!$B$44,0)</f>
        <v/>
      </c>
    </row>
    <row r="254">
      <c r="A254" s="15">
        <f>계산과정!A254</f>
        <v/>
      </c>
      <c r="B254" s="11">
        <f>계산과정!V254</f>
        <v/>
      </c>
      <c r="C254" s="12">
        <f>계산과정!W254</f>
        <v/>
      </c>
      <c r="D254" s="18">
        <f>계산과정!U254</f>
        <v/>
      </c>
      <c r="E254" s="18">
        <f>D254*C254</f>
        <v/>
      </c>
      <c r="F254" s="17">
        <f>원데이터!N254</f>
        <v/>
      </c>
      <c r="G254" s="17">
        <f>L253</f>
        <v/>
      </c>
      <c r="H254" s="17">
        <f>MAX(F254-G254, 0)</f>
        <v/>
      </c>
      <c r="I254" s="17">
        <f>MAX(G254-F254, 0)</f>
        <v/>
      </c>
      <c r="J254" s="18">
        <f>IF(I254&lt;=설정!$B$42, 1, (설정!$B$41-I254)/(설정!$B$41-설정!$B$42))</f>
        <v/>
      </c>
      <c r="K254" s="18">
        <f>J254*E254</f>
        <v/>
      </c>
      <c r="L254" s="17">
        <f>MIN(I254+K254, 설정!$B$41)</f>
        <v/>
      </c>
      <c r="M254" s="8">
        <f>IF(L254&gt;=설정!$B$42,"●","")</f>
        <v/>
      </c>
      <c r="N254" s="17">
        <f>IF(M254="●",L254,0)</f>
        <v/>
      </c>
      <c r="O254" s="17">
        <f>IF(N254&gt;0,N254/설정!$B$44,0)</f>
        <v/>
      </c>
    </row>
    <row r="255">
      <c r="A255" s="15">
        <f>계산과정!A255</f>
        <v/>
      </c>
      <c r="B255" s="11">
        <f>계산과정!V255</f>
        <v/>
      </c>
      <c r="C255" s="12">
        <f>계산과정!W255</f>
        <v/>
      </c>
      <c r="D255" s="18">
        <f>계산과정!U255</f>
        <v/>
      </c>
      <c r="E255" s="18">
        <f>D255*C255</f>
        <v/>
      </c>
      <c r="F255" s="17">
        <f>원데이터!N255</f>
        <v/>
      </c>
      <c r="G255" s="17">
        <f>L254</f>
        <v/>
      </c>
      <c r="H255" s="17">
        <f>MAX(F255-G255, 0)</f>
        <v/>
      </c>
      <c r="I255" s="17">
        <f>MAX(G255-F255, 0)</f>
        <v/>
      </c>
      <c r="J255" s="18">
        <f>IF(I255&lt;=설정!$B$42, 1, (설정!$B$41-I255)/(설정!$B$41-설정!$B$42))</f>
        <v/>
      </c>
      <c r="K255" s="18">
        <f>J255*E255</f>
        <v/>
      </c>
      <c r="L255" s="17">
        <f>MIN(I255+K255, 설정!$B$41)</f>
        <v/>
      </c>
      <c r="M255" s="8">
        <f>IF(L255&gt;=설정!$B$42,"●","")</f>
        <v/>
      </c>
      <c r="N255" s="17">
        <f>IF(M255="●",L255,0)</f>
        <v/>
      </c>
      <c r="O255" s="17">
        <f>IF(N255&gt;0,N255/설정!$B$44,0)</f>
        <v/>
      </c>
    </row>
    <row r="256">
      <c r="A256" s="15">
        <f>계산과정!A256</f>
        <v/>
      </c>
      <c r="B256" s="11">
        <f>계산과정!V256</f>
        <v/>
      </c>
      <c r="C256" s="12">
        <f>계산과정!W256</f>
        <v/>
      </c>
      <c r="D256" s="18">
        <f>계산과정!U256</f>
        <v/>
      </c>
      <c r="E256" s="18">
        <f>D256*C256</f>
        <v/>
      </c>
      <c r="F256" s="17">
        <f>원데이터!N256</f>
        <v/>
      </c>
      <c r="G256" s="17">
        <f>L255</f>
        <v/>
      </c>
      <c r="H256" s="17">
        <f>MAX(F256-G256, 0)</f>
        <v/>
      </c>
      <c r="I256" s="17">
        <f>MAX(G256-F256, 0)</f>
        <v/>
      </c>
      <c r="J256" s="18">
        <f>IF(I256&lt;=설정!$B$42, 1, (설정!$B$41-I256)/(설정!$B$41-설정!$B$42))</f>
        <v/>
      </c>
      <c r="K256" s="18">
        <f>J256*E256</f>
        <v/>
      </c>
      <c r="L256" s="17">
        <f>MIN(I256+K256, 설정!$B$41)</f>
        <v/>
      </c>
      <c r="M256" s="8">
        <f>IF(L256&gt;=설정!$B$42,"●","")</f>
        <v/>
      </c>
      <c r="N256" s="17">
        <f>IF(M256="●",L256,0)</f>
        <v/>
      </c>
      <c r="O256" s="17">
        <f>IF(N256&gt;0,N256/설정!$B$44,0)</f>
        <v/>
      </c>
    </row>
    <row r="257">
      <c r="A257" s="15">
        <f>계산과정!A257</f>
        <v/>
      </c>
      <c r="B257" s="11">
        <f>계산과정!V257</f>
        <v/>
      </c>
      <c r="C257" s="12">
        <f>계산과정!W257</f>
        <v/>
      </c>
      <c r="D257" s="18">
        <f>계산과정!U257</f>
        <v/>
      </c>
      <c r="E257" s="18">
        <f>D257*C257</f>
        <v/>
      </c>
      <c r="F257" s="17">
        <f>원데이터!N257</f>
        <v/>
      </c>
      <c r="G257" s="17">
        <f>L256</f>
        <v/>
      </c>
      <c r="H257" s="17">
        <f>MAX(F257-G257, 0)</f>
        <v/>
      </c>
      <c r="I257" s="17">
        <f>MAX(G257-F257, 0)</f>
        <v/>
      </c>
      <c r="J257" s="18">
        <f>IF(I257&lt;=설정!$B$42, 1, (설정!$B$41-I257)/(설정!$B$41-설정!$B$42))</f>
        <v/>
      </c>
      <c r="K257" s="18">
        <f>J257*E257</f>
        <v/>
      </c>
      <c r="L257" s="17">
        <f>MIN(I257+K257, 설정!$B$41)</f>
        <v/>
      </c>
      <c r="M257" s="8">
        <f>IF(L257&gt;=설정!$B$42,"●","")</f>
        <v/>
      </c>
      <c r="N257" s="17">
        <f>IF(M257="●",L257,0)</f>
        <v/>
      </c>
      <c r="O257" s="17">
        <f>IF(N257&gt;0,N257/설정!$B$44,0)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2" t="inlineStr">
        <is>
          <t>ETo 산출 근거 (FAO-56)</t>
        </is>
      </c>
      <c r="B1" s="30" t="inlineStr"/>
    </row>
    <row r="2">
      <c r="A2" s="3" t="inlineStr">
        <is>
          <t>기준</t>
        </is>
      </c>
      <c r="B2" s="31" t="inlineStr">
        <is>
          <t>Allen et al., FAO Irrigation &amp; Drainage Paper 56 (1998)</t>
        </is>
      </c>
    </row>
    <row r="3">
      <c r="A3" s="3" t="inlineStr">
        <is>
          <t>원데이터</t>
        </is>
      </c>
      <c r="B3" s="31" t="inlineStr">
        <is>
          <t>기상청 ASOS 일자료(공공데이터포털 getWthrDataList) — 공개 OpenAPI만 사용</t>
        </is>
      </c>
    </row>
    <row r="4">
      <c r="A4" s="3" t="inlineStr">
        <is>
          <t>es</t>
        </is>
      </c>
      <c r="B4" s="31" t="inlineStr">
        <is>
          <t>포화수증기압 (e°(Tmax)+e°(Tmin))/2, e°(T)=0.6108·EXP(17.27·T/(T+237.3))  [식11]</t>
        </is>
      </c>
    </row>
    <row r="5">
      <c r="A5" s="3" t="inlineStr">
        <is>
          <t>ea</t>
        </is>
      </c>
      <c r="B5" s="31" t="inlineStr">
        <is>
          <t>실제수증기압. 우선순위: 측정증기압(avgPv÷10) → 이슬점 e°(avgTd) → 상대습도(RH/100·es)</t>
        </is>
      </c>
    </row>
    <row r="6">
      <c r="A6" s="3" t="inlineStr">
        <is>
          <t>Δ</t>
        </is>
      </c>
      <c r="B6" s="31" t="inlineStr">
        <is>
          <t>포화수증기압곡선 기울기 4098·e°(T)/(T+237.3)²  [식13]</t>
        </is>
      </c>
    </row>
    <row r="7">
      <c r="A7" s="3" t="inlineStr">
        <is>
          <t>P, γ</t>
        </is>
      </c>
      <c r="B7" s="31" t="inlineStr">
        <is>
          <t>P=현지기압(avgPa÷10) 또는 고도식, γ=0.000665·P  [식7,8]</t>
        </is>
      </c>
    </row>
    <row r="8">
      <c r="A8" s="3" t="inlineStr">
        <is>
          <t>u₂</t>
        </is>
      </c>
      <c r="B8" s="31" t="inlineStr">
        <is>
          <t>2m 풍속 u_z·4.87/LN(67.8·z−5.42), z=풍속계높이  [식47]</t>
        </is>
      </c>
    </row>
    <row r="9">
      <c r="A9" s="3" t="inlineStr">
        <is>
          <t>Ra</t>
        </is>
      </c>
      <c r="B9" s="31" t="inlineStr">
        <is>
          <t>천문일사: 위도·연중일(DOY)로 산정 (dr·δ·ωs 경유)  [식21]</t>
        </is>
      </c>
    </row>
    <row r="10">
      <c r="A10" s="3" t="inlineStr">
        <is>
          <t>Rso</t>
        </is>
      </c>
      <c r="B10" s="31" t="inlineStr">
        <is>
          <t>청천일사 (0.75+2e-5·고도)·Ra  [식37]</t>
        </is>
      </c>
    </row>
    <row r="11">
      <c r="A11" s="3" t="inlineStr">
        <is>
          <t>Rs</t>
        </is>
      </c>
      <c r="B11" s="31" t="inlineStr">
        <is>
          <t>일사: 측정 합계일사(sumGsr) 우선, 결측 시 일조기반 Ångström (0.25+0.50·n/N)·Ra  [식35]</t>
        </is>
      </c>
    </row>
    <row r="12">
      <c r="A12" s="3" t="inlineStr">
        <is>
          <t>Rn</t>
        </is>
      </c>
      <c r="B12" s="31" t="inlineStr">
        <is>
          <t>순복사 Rns−Rnl, Rns=0.77·Rs, Rnl=σ·((Tmax⁴+Tmin⁴)/2)·(0.34−0.14·√ea)·(1.35·Rs/Rso−0.35)  [식38~40]</t>
        </is>
      </c>
    </row>
    <row r="13">
      <c r="A13" s="3" t="inlineStr">
        <is>
          <t>ETo_PM</t>
        </is>
      </c>
      <c r="B13" s="31" t="inlineStr">
        <is>
          <t>기준증발산량(PM). 분자 0.408·Δ·Rn + γ·900/(T+273)·u₂·(es−ea), 분모 Δ + γ·(1+0.34·u₂)  [식6, G=0]</t>
        </is>
      </c>
    </row>
    <row r="14">
      <c r="A14" s="3" t="inlineStr">
        <is>
          <t>Kp</t>
        </is>
      </c>
      <c r="B14" s="31" t="inlineStr">
        <is>
          <t>Class A 증발접시 계수(녹지 fetch, Allen-Pruitt): u₂·상대습도·상풍거리(fetch)의 함수</t>
        </is>
      </c>
    </row>
    <row r="15">
      <c r="A15" s="3" t="inlineStr">
        <is>
          <t>ETo_pan</t>
        </is>
      </c>
      <c r="B15" s="31" t="inlineStr">
        <is>
          <t>증발접시법 기준증발산량 = Kp × 대형증발량(sumLrgEv)  [FAO-56]</t>
        </is>
      </c>
    </row>
    <row r="16">
      <c r="A16" s="3" t="inlineStr">
        <is>
          <t>Kc 시나리오</t>
        </is>
      </c>
      <c r="B16" s="31" t="inlineStr">
        <is>
          <t>FAO-56 Table 12(사과·배·체리) 4개 시나리오. 축1: 청경(초생 없음) vs 초생재배(active ground cover) / 축2: 서리 발생 vs 무서리. 한국 사과원은 대개 시나리오 3(초생·서리, 0.50/1.20/0.95). 설정 시트의 '시나리오 번호'를 바꾸면 표값 3개(Kc_ini/mid/end)가 자동 갱신됨.</t>
        </is>
      </c>
    </row>
    <row r="17">
      <c r="A17" s="3" t="inlineStr">
        <is>
          <t>생육단계 [식66]</t>
        </is>
      </c>
      <c r="B17" s="31" t="inlineStr">
        <is>
          <t>발아일 + L_ini/dev/mid/late로 5구간(발아전·초기·발육·중기·후기·후기이후) 판정. 일별 Kc 곡선: 초기=Kc_ini 유지 → 발육=선형 증가 → 중기=Kc_mid 유지 → 후기=Kc_end로 선형 감소 → 후기이후=0.</t>
        </is>
      </c>
    </row>
    <row r="18">
      <c r="A18" s="3" t="inlineStr">
        <is>
          <t>Kc 현지기상 보정 [식62/65]</t>
        </is>
      </c>
      <c r="B18" s="31" t="inlineStr">
        <is>
          <t>Kc_mid_adj = Kc_mid_table + [0.04·(u2−2) − 0.004·(RHmin−45)]·(h/3)^0.3.  u2는 MEDIAN(1,u2,6), RHmin은 MEDIAN(20,RHmin,80)으로 자동 제한. Kc_end는 표값&gt;0.45일 때만 같은 식으로 보정(식65). Kc_ini는 현지기상 보정 대상 아님(멀칭 보정만).</t>
        </is>
      </c>
    </row>
    <row r="19">
      <c r="A19" s="3" t="inlineStr">
        <is>
          <t>멀칭 보정</t>
        </is>
      </c>
      <c r="B19" s="31" t="inlineStr">
        <is>
          <t>전면 비닐멀칭 시 Kc를 10~30% 낮춤(FAO-56 p.196). 설정의 '멀칭 Kc 보정계수'로 Kc_ini/mid/end 모두에 곱함.</t>
        </is>
      </c>
    </row>
    <row r="20">
      <c r="A20" s="3" t="inlineStr">
        <is>
          <t>ETc</t>
        </is>
      </c>
      <c r="B20" s="31" t="inlineStr">
        <is>
          <t>일별 ETc = 일별 Kc × ETo. 계산과정 시트에서 매일 자동 산출. Kc_pan 방식은 참고용(같은 일별 Kc를 ETo_pan에 곱함).</t>
        </is>
      </c>
    </row>
    <row r="21">
      <c r="A21" s="22" t="inlineStr">
        <is>
          <t>물수지 근거 (FAO-56 Ch.8)</t>
        </is>
      </c>
      <c r="B21" s="30" t="inlineStr"/>
    </row>
    <row r="22">
      <c r="A22" s="3" t="inlineStr">
        <is>
          <t>TAW [식82]</t>
        </is>
      </c>
      <c r="B22" s="31" t="inlineStr">
        <is>
          <t>총유효수분 TAW = 1000·(θFC−θWP)·Zr (mm). θFC/θWP는 FAO-56 Table 19, Zr은 Table 22 기준값.</t>
        </is>
      </c>
    </row>
    <row r="23">
      <c r="A23" s="3" t="inlineStr">
        <is>
          <t>RAW [식83]</t>
        </is>
      </c>
      <c r="B23" s="31" t="inlineStr">
        <is>
          <t>쉽게이용가능수분 RAW = p·TAW (mm). Dr이 RAW에 도달하면 작물이 스트레스를 받기 시작. p는 Table 22 기준값.</t>
        </is>
      </c>
    </row>
    <row r="24">
      <c r="A24" s="3" t="inlineStr">
        <is>
          <t>Ks [식84]</t>
        </is>
      </c>
      <c r="B24" s="31" t="inlineStr">
        <is>
          <t>수분스트레스계수. Dr≤RAW이면 Ks=1(무스트레스). Dr&gt;RAW이면 Ks=(TAW−Dr)/(TAW−RAW), 0~1 범위.</t>
        </is>
      </c>
    </row>
    <row r="25">
      <c r="A25" s="3" t="inlineStr">
        <is>
          <t>Dr [식85]</t>
        </is>
      </c>
      <c r="B25" s="31" t="inlineStr">
        <is>
          <t>일별 근권 고갈량. Dr,i = Dr,i-1 − P + ETc,adj + DP. 범위: 0 ≤ Dr ≤ TAW.</t>
        </is>
      </c>
    </row>
    <row r="26">
      <c r="A26" s="3" t="inlineStr">
        <is>
          <t>DP [식88]</t>
        </is>
      </c>
      <c r="B26" s="31" t="inlineStr">
        <is>
          <t>심층침투. DP = max(P − Dr,i-1, 0). 강수가 현재 고갈량보다 많으면 근권을 넘쳐 아래로 배수.</t>
        </is>
      </c>
    </row>
    <row r="27">
      <c r="A27" s="3" t="inlineStr">
        <is>
          <t>ETc_adj [식81]</t>
        </is>
      </c>
      <c r="B27" s="31" t="inlineStr">
        <is>
          <t>스트레스 보정 후 증발산. ETc_adj = Ks · Kc · ETo. Ks&lt;1이면 실제 소비량이 잠재 ETc보다 줄어듦.</t>
        </is>
      </c>
    </row>
    <row r="28">
      <c r="A28" s="3" t="inlineStr">
        <is>
          <t>관수필요 판정</t>
        </is>
      </c>
      <c r="B28" s="31" t="inlineStr">
        <is>
          <t>Dr,i ≥ RAW이면 관수 필요(●). 무관수(자연강우만) 가정이므로 ● 이후에도 Dr 리셋 없이 계속 누적됨. 실측 관수 데이터는 다음 버전에서 식(85)에 직접 반영 예정.</t>
        </is>
      </c>
    </row>
    <row r="29">
      <c r="A29" s="3" t="inlineStr">
        <is>
          <t>필요 순관수량 In</t>
        </is>
      </c>
      <c r="B29" s="31" t="inlineStr">
        <is>
          <t>net irrigation depth. 관수필요(●) 시점의 Dr 값. 근권을 포장용수량(Dr=0)까지 보충하는 데 필요한 순수량(mm). 이론적 필요량이며 실측 관수량이 아님.</t>
        </is>
      </c>
    </row>
    <row r="30">
      <c r="A30" s="3" t="inlineStr">
        <is>
          <t>필요 총관수량 Ig</t>
        </is>
      </c>
      <c r="B30" s="31" t="inlineStr">
        <is>
          <t>gross irrigation depth. In을 관수효율 Ea로 나눈 값(Ig = In/Ea). 손실(미도달·증발 등)을 포함한 실제 공급 필요량. 점적관수 Ea=0.95 기준.</t>
        </is>
      </c>
    </row>
    <row r="31">
      <c r="A31" s="3" t="inlineStr">
        <is>
          <t>계산과정 시트</t>
        </is>
      </c>
      <c r="B31" s="31" t="inlineStr">
        <is>
          <t>모든 셀이 라이브 수식. 셀 클릭 시 수식 확인 가능. 설정값 변경 시 자동 재계산됨.</t>
        </is>
      </c>
    </row>
    <row r="32">
      <c r="A32" s="3" t="inlineStr">
        <is>
          <t>물수지 시트</t>
        </is>
      </c>
      <c r="B32" s="31" t="inlineStr">
        <is>
          <t>라이브 수식. 설정의 토양 파라미터(θFC/θWP/Zr/p) 변경 시 전체 자동 재계산됨.</t>
        </is>
      </c>
    </row>
    <row r="33">
      <c r="A33" s="3" t="inlineStr">
        <is>
          <t>주의</t>
        </is>
      </c>
      <c r="B33" s="31" t="inlineStr">
        <is>
          <t>일사·대형증발량은 지점별 관측 여부 상이. 물수지는 RO(지표유출)=0, CR(모관상승)=0, 실측 관수량=0(무관수 가정)으로 단순화.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2026-09-14T05:38:00Z</dcterms:created>
  <dcterms:modified xsi:type="dcterms:W3CDTF">2026-09-14T05:38:02Z</dcterms:modified>
</cp:coreProperties>
</file>